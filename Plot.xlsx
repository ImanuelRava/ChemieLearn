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hemieLearn\"/>
    </mc:Choice>
  </mc:AlternateContent>
  <xr:revisionPtr revIDLastSave="0" documentId="13_ncr:1_{F63C705F-9638-4853-904D-5EE2013DCE7E}" xr6:coauthVersionLast="47" xr6:coauthVersionMax="47" xr10:uidLastSave="{00000000-0000-0000-0000-000000000000}"/>
  <bookViews>
    <workbookView xWindow="-108" yWindow="-108" windowWidth="23256" windowHeight="12576" xr2:uid="{543ED01B-479C-40E6-8836-ABE32A8D6A8E}"/>
  </bookViews>
  <sheets>
    <sheet name="Black Body Radiation (Chart)" sheetId="2" r:id="rId1"/>
    <sheet name="Black Body Radiation (Data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91" i="1"/>
  <c r="C91" i="1"/>
  <c r="D91" i="1"/>
  <c r="B92" i="1"/>
  <c r="C92" i="1"/>
  <c r="D92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3" i="1"/>
  <c r="C3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G4" i="1"/>
  <c r="G2" i="1"/>
</calcChain>
</file>

<file path=xl/sharedStrings.xml><?xml version="1.0" encoding="utf-8"?>
<sst xmlns="http://schemas.openxmlformats.org/spreadsheetml/2006/main" count="14" uniqueCount="12">
  <si>
    <t>c</t>
  </si>
  <si>
    <t>h</t>
  </si>
  <si>
    <t>Constant</t>
  </si>
  <si>
    <t>Value</t>
  </si>
  <si>
    <t>Unit</t>
  </si>
  <si>
    <r>
      <t>m s</t>
    </r>
    <r>
      <rPr>
        <vertAlign val="superscript"/>
        <sz val="11"/>
        <color theme="1"/>
        <rFont val="Arial"/>
        <family val="2"/>
      </rPr>
      <t>-1</t>
    </r>
  </si>
  <si>
    <t>J s</t>
  </si>
  <si>
    <t>k</t>
  </si>
  <si>
    <r>
      <t>J K</t>
    </r>
    <r>
      <rPr>
        <vertAlign val="superscript"/>
        <sz val="11"/>
        <color theme="1"/>
        <rFont val="Arial"/>
        <family val="2"/>
      </rPr>
      <t>-1</t>
    </r>
  </si>
  <si>
    <t>p</t>
  </si>
  <si>
    <r>
      <t>l</t>
    </r>
    <r>
      <rPr>
        <vertAlign val="subscript"/>
        <sz val="11"/>
        <color theme="1"/>
        <rFont val="Arial"/>
        <family val="2"/>
      </rPr>
      <t>max</t>
    </r>
    <r>
      <rPr>
        <sz val="11"/>
        <color theme="1"/>
        <rFont val="Arial"/>
        <family val="2"/>
      </rPr>
      <t>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m)</t>
    </r>
  </si>
  <si>
    <r>
      <rPr>
        <i/>
        <sz val="11"/>
        <color theme="1"/>
        <rFont val="Arial"/>
        <family val="2"/>
      </rPr>
      <t>E</t>
    </r>
    <r>
      <rPr>
        <vertAlign val="subscript"/>
        <sz val="11"/>
        <color theme="1"/>
        <rFont val="Symbol"/>
        <family val="1"/>
        <charset val="2"/>
      </rPr>
      <t>l</t>
    </r>
    <r>
      <rPr>
        <sz val="11"/>
        <color theme="1"/>
        <rFont val="Arial"/>
        <family val="2"/>
      </rPr>
      <t>(T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</si>
</sst>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.E+00"/>
  </numFmts>
  <fonts count="6" x14ac:knownFonts="1">
    <font>
      <sz val="11"/>
      <color theme="1"/>
      <name val="Arial"/>
      <family val="2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i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strRef>
              <c:f>'Black Body Radiation (Data)'!$A:$A</c:f>
              <c:strCache>
                <c:ptCount val="120"/>
                <c:pt idx="0">
                  <c:v>lmax(mm)</c:v>
                </c:pt>
                <c:pt idx="1">
                  <c:v>0.00</c:v>
                </c:pt>
                <c:pt idx="2">
                  <c:v>0.05</c:v>
                </c:pt>
                <c:pt idx="3">
                  <c:v>0.10</c:v>
                </c:pt>
                <c:pt idx="4">
                  <c:v>0.15</c:v>
                </c:pt>
                <c:pt idx="5">
                  <c:v>0.20</c:v>
                </c:pt>
                <c:pt idx="6">
                  <c:v>0.25</c:v>
                </c:pt>
                <c:pt idx="7">
                  <c:v>0.30</c:v>
                </c:pt>
                <c:pt idx="8">
                  <c:v>0.35</c:v>
                </c:pt>
                <c:pt idx="9">
                  <c:v>0.40</c:v>
                </c:pt>
                <c:pt idx="10">
                  <c:v>0.45</c:v>
                </c:pt>
                <c:pt idx="11">
                  <c:v>0.50</c:v>
                </c:pt>
                <c:pt idx="12">
                  <c:v>0.55</c:v>
                </c:pt>
                <c:pt idx="13">
                  <c:v>0.60</c:v>
                </c:pt>
                <c:pt idx="14">
                  <c:v>0.65</c:v>
                </c:pt>
                <c:pt idx="15">
                  <c:v>0.70</c:v>
                </c:pt>
                <c:pt idx="16">
                  <c:v>0.75</c:v>
                </c:pt>
                <c:pt idx="17">
                  <c:v>0.80</c:v>
                </c:pt>
                <c:pt idx="18">
                  <c:v>0.85</c:v>
                </c:pt>
                <c:pt idx="19">
                  <c:v>0.90</c:v>
                </c:pt>
                <c:pt idx="20">
                  <c:v>0.95</c:v>
                </c:pt>
                <c:pt idx="21">
                  <c:v>1.00</c:v>
                </c:pt>
                <c:pt idx="22">
                  <c:v>1.05</c:v>
                </c:pt>
                <c:pt idx="23">
                  <c:v>1.10</c:v>
                </c:pt>
                <c:pt idx="24">
                  <c:v>1.15</c:v>
                </c:pt>
                <c:pt idx="25">
                  <c:v>1.20</c:v>
                </c:pt>
                <c:pt idx="26">
                  <c:v>1.25</c:v>
                </c:pt>
                <c:pt idx="27">
                  <c:v>1.30</c:v>
                </c:pt>
                <c:pt idx="28">
                  <c:v>1.35</c:v>
                </c:pt>
                <c:pt idx="29">
                  <c:v>1.40</c:v>
                </c:pt>
                <c:pt idx="30">
                  <c:v>1.45</c:v>
                </c:pt>
                <c:pt idx="31">
                  <c:v>1.50</c:v>
                </c:pt>
                <c:pt idx="32">
                  <c:v>1.55</c:v>
                </c:pt>
                <c:pt idx="33">
                  <c:v>1.60</c:v>
                </c:pt>
                <c:pt idx="34">
                  <c:v>1.65</c:v>
                </c:pt>
                <c:pt idx="35">
                  <c:v>1.70</c:v>
                </c:pt>
                <c:pt idx="36">
                  <c:v>1.75</c:v>
                </c:pt>
                <c:pt idx="37">
                  <c:v>1.80</c:v>
                </c:pt>
                <c:pt idx="38">
                  <c:v>1.85</c:v>
                </c:pt>
                <c:pt idx="39">
                  <c:v>1.90</c:v>
                </c:pt>
                <c:pt idx="40">
                  <c:v>1.95</c:v>
                </c:pt>
                <c:pt idx="41">
                  <c:v>2.00</c:v>
                </c:pt>
                <c:pt idx="42">
                  <c:v>2.05</c:v>
                </c:pt>
                <c:pt idx="43">
                  <c:v>2.10</c:v>
                </c:pt>
                <c:pt idx="44">
                  <c:v>2.15</c:v>
                </c:pt>
                <c:pt idx="45">
                  <c:v>2.20</c:v>
                </c:pt>
                <c:pt idx="46">
                  <c:v>2.25</c:v>
                </c:pt>
                <c:pt idx="47">
                  <c:v>2.30</c:v>
                </c:pt>
                <c:pt idx="48">
                  <c:v>2.35</c:v>
                </c:pt>
                <c:pt idx="49">
                  <c:v>2.40</c:v>
                </c:pt>
                <c:pt idx="50">
                  <c:v>2.45</c:v>
                </c:pt>
                <c:pt idx="51">
                  <c:v>2.50</c:v>
                </c:pt>
                <c:pt idx="52">
                  <c:v>2.55</c:v>
                </c:pt>
                <c:pt idx="53">
                  <c:v>2.60</c:v>
                </c:pt>
                <c:pt idx="54">
                  <c:v>2.65</c:v>
                </c:pt>
                <c:pt idx="55">
                  <c:v>2.70</c:v>
                </c:pt>
                <c:pt idx="56">
                  <c:v>2.75</c:v>
                </c:pt>
                <c:pt idx="57">
                  <c:v>2.80</c:v>
                </c:pt>
                <c:pt idx="58">
                  <c:v>2.85</c:v>
                </c:pt>
                <c:pt idx="59">
                  <c:v>2.90</c:v>
                </c:pt>
                <c:pt idx="60">
                  <c:v>2.95</c:v>
                </c:pt>
                <c:pt idx="61">
                  <c:v>3.00</c:v>
                </c:pt>
                <c:pt idx="62">
                  <c:v>3.05</c:v>
                </c:pt>
                <c:pt idx="63">
                  <c:v>3.10</c:v>
                </c:pt>
                <c:pt idx="64">
                  <c:v>3.15</c:v>
                </c:pt>
                <c:pt idx="65">
                  <c:v>3.20</c:v>
                </c:pt>
                <c:pt idx="66">
                  <c:v>3.25</c:v>
                </c:pt>
                <c:pt idx="67">
                  <c:v>3.30</c:v>
                </c:pt>
                <c:pt idx="68">
                  <c:v>3.35</c:v>
                </c:pt>
                <c:pt idx="69">
                  <c:v>3.40</c:v>
                </c:pt>
                <c:pt idx="70">
                  <c:v>3.45</c:v>
                </c:pt>
                <c:pt idx="71">
                  <c:v>3.50</c:v>
                </c:pt>
                <c:pt idx="72">
                  <c:v>3.55</c:v>
                </c:pt>
                <c:pt idx="73">
                  <c:v>3.60</c:v>
                </c:pt>
                <c:pt idx="74">
                  <c:v>3.65</c:v>
                </c:pt>
                <c:pt idx="75">
                  <c:v>3.70</c:v>
                </c:pt>
                <c:pt idx="76">
                  <c:v>3.75</c:v>
                </c:pt>
                <c:pt idx="77">
                  <c:v>3.80</c:v>
                </c:pt>
                <c:pt idx="78">
                  <c:v>3.85</c:v>
                </c:pt>
                <c:pt idx="79">
                  <c:v>3.90</c:v>
                </c:pt>
                <c:pt idx="80">
                  <c:v>3.95</c:v>
                </c:pt>
                <c:pt idx="81">
                  <c:v>4.00</c:v>
                </c:pt>
                <c:pt idx="82">
                  <c:v>4.05</c:v>
                </c:pt>
                <c:pt idx="83">
                  <c:v>4.10</c:v>
                </c:pt>
                <c:pt idx="84">
                  <c:v>4.15</c:v>
                </c:pt>
                <c:pt idx="85">
                  <c:v>4.20</c:v>
                </c:pt>
                <c:pt idx="86">
                  <c:v>4.25</c:v>
                </c:pt>
                <c:pt idx="87">
                  <c:v>4.30</c:v>
                </c:pt>
                <c:pt idx="88">
                  <c:v>4.35</c:v>
                </c:pt>
                <c:pt idx="89">
                  <c:v>4.40</c:v>
                </c:pt>
                <c:pt idx="90">
                  <c:v>4.45</c:v>
                </c:pt>
                <c:pt idx="91">
                  <c:v>4.50</c:v>
                </c:pt>
                <c:pt idx="92">
                  <c:v>4.55</c:v>
                </c:pt>
                <c:pt idx="93">
                  <c:v>4.60</c:v>
                </c:pt>
                <c:pt idx="94">
                  <c:v>4.65</c:v>
                </c:pt>
                <c:pt idx="95">
                  <c:v>4.70</c:v>
                </c:pt>
                <c:pt idx="96">
                  <c:v>4.75</c:v>
                </c:pt>
                <c:pt idx="97">
                  <c:v>4.80</c:v>
                </c:pt>
                <c:pt idx="98">
                  <c:v>4.85</c:v>
                </c:pt>
                <c:pt idx="99">
                  <c:v>4.90</c:v>
                </c:pt>
                <c:pt idx="100">
                  <c:v>4.95</c:v>
                </c:pt>
                <c:pt idx="101">
                  <c:v>5.00</c:v>
                </c:pt>
                <c:pt idx="102">
                  <c:v>5.05</c:v>
                </c:pt>
                <c:pt idx="103">
                  <c:v>5.10</c:v>
                </c:pt>
                <c:pt idx="104">
                  <c:v>5.15</c:v>
                </c:pt>
                <c:pt idx="105">
                  <c:v>5.20</c:v>
                </c:pt>
                <c:pt idx="106">
                  <c:v>5.25</c:v>
                </c:pt>
                <c:pt idx="107">
                  <c:v>5.30</c:v>
                </c:pt>
                <c:pt idx="108">
                  <c:v>5.35</c:v>
                </c:pt>
                <c:pt idx="109">
                  <c:v>5.40</c:v>
                </c:pt>
                <c:pt idx="110">
                  <c:v>5.45</c:v>
                </c:pt>
                <c:pt idx="111">
                  <c:v>5.50</c:v>
                </c:pt>
                <c:pt idx="112">
                  <c:v>5.55</c:v>
                </c:pt>
                <c:pt idx="113">
                  <c:v>5.60</c:v>
                </c:pt>
                <c:pt idx="114">
                  <c:v>5.65</c:v>
                </c:pt>
                <c:pt idx="115">
                  <c:v>5.70</c:v>
                </c:pt>
                <c:pt idx="116">
                  <c:v>5.75</c:v>
                </c:pt>
                <c:pt idx="117">
                  <c:v>5.80</c:v>
                </c:pt>
                <c:pt idx="118">
                  <c:v>5.85</c:v>
                </c:pt>
                <c:pt idx="119">
                  <c:v>5.90</c:v>
                </c:pt>
              </c:strCache>
            </c:strRef>
          </c:xVal>
          <c:yVal>
            <c:numRef>
              <c:f>'Black Body Radiation (Data)'!$B:$B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 formatCode="0.00.E+00">
                  <c:v>1.4154731112787893E-49</c:v>
                </c:pt>
                <c:pt idx="3" formatCode="0.00.E+00">
                  <c:v>7.7476975107895302E-20</c:v>
                </c:pt>
                <c:pt idx="4" formatCode="0.00.E+00">
                  <c:v>2.6496592796796401E-10</c:v>
                </c:pt>
                <c:pt idx="5" formatCode="0.00.E+00">
                  <c:v>1.0132886629160216E-5</c:v>
                </c:pt>
                <c:pt idx="6" formatCode="0.00.E+00">
                  <c:v>4.4210478935100342E-3</c:v>
                </c:pt>
                <c:pt idx="7" formatCode="0.00.E+00">
                  <c:v>0.21503726290202582</c:v>
                </c:pt>
                <c:pt idx="8" formatCode="0.00.E+00">
                  <c:v>3.0588749874256966</c:v>
                </c:pt>
                <c:pt idx="9" formatCode="0.00.E+00">
                  <c:v>20.485117437975955</c:v>
                </c:pt>
                <c:pt idx="10" formatCode="0.00.E+00">
                  <c:v>83.858801584021791</c:v>
                </c:pt>
                <c:pt idx="11" formatCode="0.00.E+00">
                  <c:v>244.93984774401966</c:v>
                </c:pt>
                <c:pt idx="12" formatCode="0.00.E+00">
                  <c:v>562.54622925219735</c:v>
                </c:pt>
                <c:pt idx="13" formatCode="0.00.E+00">
                  <c:v>1082.9304871506213</c:v>
                </c:pt>
                <c:pt idx="14" formatCode="0.00.E+00">
                  <c:v>1825.3524315068066</c:v>
                </c:pt>
                <c:pt idx="15" formatCode="0.00.E+00">
                  <c:v>2778.1622683422479</c:v>
                </c:pt>
                <c:pt idx="16" formatCode="0.00.E+00">
                  <c:v>3903.8927892270303</c:v>
                </c:pt>
                <c:pt idx="17" formatCode="0.00.E+00">
                  <c:v>5148.9195488560526</c:v>
                </c:pt>
                <c:pt idx="18" formatCode="0.00.E+00">
                  <c:v>6453.6060240647093</c:v>
                </c:pt>
                <c:pt idx="19" formatCode="0.00.E+00">
                  <c:v>7760.5034583128991</c:v>
                </c:pt>
                <c:pt idx="20" formatCode="0.00.E+00">
                  <c:v>9019.7496165864759</c:v>
                </c:pt>
                <c:pt idx="21" formatCode="0.00.E+00">
                  <c:v>10191.815809554802</c:v>
                </c:pt>
                <c:pt idx="22" formatCode="0.00.E+00">
                  <c:v>11248.20612517989</c:v>
                </c:pt>
                <c:pt idx="23" formatCode="0.00.E+00">
                  <c:v>12170.80321755046</c:v>
                </c:pt>
                <c:pt idx="24" formatCode="0.00.E+00">
                  <c:v>12950.461565163905</c:v>
                </c:pt>
                <c:pt idx="25" formatCode="0.00.E+00">
                  <c:v>13585.293316775864</c:v>
                </c:pt>
                <c:pt idx="26" formatCode="0.00.E+00">
                  <c:v>14078.938813278408</c:v>
                </c:pt>
                <c:pt idx="27" formatCode="0.00.E+00">
                  <c:v>14438.990415646345</c:v>
                </c:pt>
                <c:pt idx="28" formatCode="0.00.E+00">
                  <c:v>14675.649896803199</c:v>
                </c:pt>
                <c:pt idx="29" formatCode="0.00.E+00">
                  <c:v>14800.642194189439</c:v>
                </c:pt>
                <c:pt idx="30" formatCode="0.00.E+00">
                  <c:v>14826.374501640708</c:v>
                </c:pt>
                <c:pt idx="31" formatCode="0.00.E+00">
                  <c:v>14765.312332300749</c:v>
                </c:pt>
                <c:pt idx="32" formatCode="0.00.E+00">
                  <c:v>14629.537456664862</c:v>
                </c:pt>
                <c:pt idx="33" formatCode="0.00.E+00">
                  <c:v>14430.452212491742</c:v>
                </c:pt>
                <c:pt idx="34" formatCode="0.00.E+00">
                  <c:v>14178.59766398966</c:v>
                </c:pt>
                <c:pt idx="35" formatCode="0.00.E+00">
                  <c:v>13883.557579354503</c:v>
                </c:pt>
                <c:pt idx="36" formatCode="0.00.E+00">
                  <c:v>13553.925073115575</c:v>
                </c:pt>
                <c:pt idx="37" formatCode="0.00.E+00">
                  <c:v>13197.313401885249</c:v>
                </c:pt>
                <c:pt idx="38" formatCode="0.00.E+00">
                  <c:v>12820.396509080219</c:v>
                </c:pt>
                <c:pt idx="39" formatCode="0.00.E+00">
                  <c:v>12428.968379500539</c:v>
                </c:pt>
                <c:pt idx="40" formatCode="0.00.E+00">
                  <c:v>12028.013090799006</c:v>
                </c:pt>
                <c:pt idx="41" formatCode="0.00.E+00">
                  <c:v>11621.779693744833</c:v>
                </c:pt>
                <c:pt idx="42" formatCode="0.00.E+00">
                  <c:v>11213.857797711729</c:v>
                </c:pt>
                <c:pt idx="43" formatCode="0.00.E+00">
                  <c:v>10807.251067428393</c:v>
                </c:pt>
                <c:pt idx="44" formatCode="0.00.E+00">
                  <c:v>10404.446831878704</c:v>
                </c:pt>
                <c:pt idx="45" formatCode="0.00.E+00">
                  <c:v>10007.480736758154</c:v>
                </c:pt>
                <c:pt idx="46" formatCode="0.00.E+00">
                  <c:v>9617.9958974049223</c:v>
                </c:pt>
                <c:pt idx="47" formatCode="0.00.E+00">
                  <c:v>9237.296378134979</c:v>
                </c:pt>
                <c:pt idx="48" formatCode="0.00.E+00">
                  <c:v>8866.3950751970897</c:v>
                </c:pt>
                <c:pt idx="49" formatCode="0.00.E+00">
                  <c:v>8506.0562445891974</c:v>
                </c:pt>
                <c:pt idx="50" formatCode="0.00.E+00">
                  <c:v>8156.833016313557</c:v>
                </c:pt>
                <c:pt idx="51" formatCode="0.00.E+00">
                  <c:v>7819.1002912985759</c:v>
                </c:pt>
                <c:pt idx="52" formatCode="0.00.E+00">
                  <c:v>7493.0834397720946</c:v>
                </c:pt>
                <c:pt idx="53" formatCode="0.00.E+00">
                  <c:v>7178.8832204659875</c:v>
                </c:pt>
                <c:pt idx="54" formatCode="0.00.E+00">
                  <c:v>6876.4973261357982</c:v>
                </c:pt>
                <c:pt idx="55" formatCode="0.00.E+00">
                  <c:v>6585.838937922942</c:v>
                </c:pt>
                <c:pt idx="56" formatCode="0.00.E+00">
                  <c:v>6306.752642960947</c:v>
                </c:pt>
                <c:pt idx="57" formatCode="0.00.E+00">
                  <c:v>6039.02803907012</c:v>
                </c:pt>
                <c:pt idx="58" formatCode="0.00.E+00">
                  <c:v>5782.4113192768436</c:v>
                </c:pt>
                <c:pt idx="59" formatCode="0.00.E+00">
                  <c:v>5536.6150984884234</c:v>
                </c:pt>
                <c:pt idx="60" formatCode="0.00.E+00">
                  <c:v>5301.3267157491191</c:v>
                </c:pt>
                <c:pt idx="61" formatCode="0.00.E+00">
                  <c:v>5076.215218566661</c:v>
                </c:pt>
                <c:pt idx="62" formatCode="0.00.E+00">
                  <c:v>4860.9372110733884</c:v>
                </c:pt>
                <c:pt idx="63" formatCode="0.00.E+00">
                  <c:v>4655.1417253510335</c:v>
                </c:pt>
                <c:pt idx="64" formatCode="0.00.E+00">
                  <c:v>4458.4742550792707</c:v>
                </c:pt>
                <c:pt idx="65" formatCode="0.00.E+00">
                  <c:v>4270.5800726699599</c:v>
                </c:pt>
                <c:pt idx="66" formatCode="0.00.E+00">
                  <c:v>4091.1069350861226</c:v>
                </c:pt>
                <c:pt idx="67" formatCode="0.00.E+00">
                  <c:v>3919.7072694579574</c:v>
                </c:pt>
                <c:pt idx="68" formatCode="0.00.E+00">
                  <c:v>3756.0399172303541</c:v>
                </c:pt>
                <c:pt idx="69" formatCode="0.00.E+00">
                  <c:v>3599.7715047388006</c:v>
                </c:pt>
                <c:pt idx="70" formatCode="0.00.E+00">
                  <c:v>3450.5774986513575</c:v>
                </c:pt>
                <c:pt idx="71" formatCode="0.00.E+00">
                  <c:v>3308.1429964798699</c:v>
                </c:pt>
                <c:pt idx="72" formatCode="0.00.E+00">
                  <c:v>3172.16329521239</c:v>
                </c:pt>
                <c:pt idx="73" formatCode="0.00.E+00">
                  <c:v>3042.3442749207397</c:v>
                </c:pt>
                <c:pt idx="74" formatCode="0.00.E+00">
                  <c:v>2918.4026288354521</c:v>
                </c:pt>
                <c:pt idx="75" formatCode="0.00.E+00">
                  <c:v>2800.065966749793</c:v>
                </c:pt>
                <c:pt idx="76" formatCode="0.00.E+00">
                  <c:v>2687.0728146212532</c:v>
                </c:pt>
                <c:pt idx="77" formatCode="0.00.E+00">
                  <c:v>2579.1725298005158</c:v>
                </c:pt>
                <c:pt idx="78" formatCode="0.00.E+00">
                  <c:v>2476.1251483608444</c:v>
                </c:pt>
                <c:pt idx="79" formatCode="0.00.E+00">
                  <c:v>2377.7011784611336</c:v>
                </c:pt>
                <c:pt idx="80" formatCode="0.00.E+00">
                  <c:v>2283.6813514974524</c:v>
                </c:pt>
                <c:pt idx="81" formatCode="0.00.E+00">
                  <c:v>2193.8563409314729</c:v>
                </c:pt>
                <c:pt idx="82" formatCode="0.00.E+00">
                  <c:v>2108.0264570871973</c:v>
                </c:pt>
                <c:pt idx="83" formatCode="0.00.E+00">
                  <c:v>2026.0013248427513</c:v>
                </c:pt>
                <c:pt idx="84" formatCode="0.00.E+00">
                  <c:v>1947.5995499793214</c:v>
                </c:pt>
                <c:pt idx="85" formatCode="0.00.E+00">
                  <c:v>1872.6483789567508</c:v>
                </c:pt>
                <c:pt idx="86" formatCode="0.00.E+00">
                  <c:v>1800.9833560408817</c:v>
                </c:pt>
                <c:pt idx="87" formatCode="0.00.E+00">
                  <c:v>1732.4479809901854</c:v>
                </c:pt>
                <c:pt idx="88" formatCode="0.00.E+00">
                  <c:v>1666.8933699008755</c:v>
                </c:pt>
                <c:pt idx="89" formatCode="0.00.E+00">
                  <c:v>1604.1779212948964</c:v>
                </c:pt>
                <c:pt idx="90" formatCode="0.00.E+00">
                  <c:v>1544.1669891003519</c:v>
                </c:pt>
                <c:pt idx="91" formatCode="0.00.E+00">
                  <c:v>1486.7325638078783</c:v>
                </c:pt>
                <c:pt idx="92" formatCode="0.00.E+00">
                  <c:v>1431.7529627788131</c:v>
                </c:pt>
                <c:pt idx="93" formatCode="0.00.E+00">
                  <c:v>1379.1125304236452</c:v>
                </c:pt>
                <c:pt idx="94" formatCode="0.00.E+00">
                  <c:v>1328.7013487544641</c:v>
                </c:pt>
                <c:pt idx="95" formatCode="0.00.E+00">
                  <c:v>1280.414958636851</c:v>
                </c:pt>
                <c:pt idx="96" formatCode="0.00.E+00">
                  <c:v>1234.1540919193351</c:v>
                </c:pt>
                <c:pt idx="97" formatCode="0.00.E+00">
                  <c:v>1189.8244144976281</c:v>
                </c:pt>
                <c:pt idx="98" formatCode="0.00.E+00">
                  <c:v>1147.3362802722406</c:v>
                </c:pt>
                <c:pt idx="99" formatCode="0.00.E+00">
                  <c:v>1106.6044958784503</c:v>
                </c:pt>
                <c:pt idx="100" formatCode="0.00.E+00">
                  <c:v>1067.5480960040002</c:v>
                </c:pt>
                <c:pt idx="101" formatCode="0.00.E+00">
                  <c:v>1030.0901290597485</c:v>
                </c:pt>
                <c:pt idx="102" formatCode="0.00.E+00">
                  <c:v>994.15745292980012</c:v>
                </c:pt>
                <c:pt idx="103" formatCode="0.00.E+00">
                  <c:v>959.68054049842181</c:v>
                </c:pt>
                <c:pt idx="104" formatCode="0.00.E+00">
                  <c:v>926.59329462980406</c:v>
                </c:pt>
                <c:pt idx="105" formatCode="0.00.E+00">
                  <c:v>894.83287226219238</c:v>
                </c:pt>
                <c:pt idx="106" formatCode="0.00.E+00">
                  <c:v>864.33951726877285</c:v>
                </c:pt>
                <c:pt idx="107" formatCode="0.00.E+00">
                  <c:v>835.05640173321478</c:v>
                </c:pt>
                <c:pt idx="108" formatCode="0.00.E+00">
                  <c:v>806.92947528690672</c:v>
                </c:pt>
                <c:pt idx="109" formatCode="0.00.E+00">
                  <c:v>779.90732215717048</c:v>
                </c:pt>
                <c:pt idx="110" formatCode="0.00.E+00">
                  <c:v>753.94102558033558</c:v>
                </c:pt>
                <c:pt idx="111" formatCode="0.00.E+00">
                  <c:v>728.98403924017487</c:v>
                </c:pt>
                <c:pt idx="112" formatCode="0.00.E+00">
                  <c:v>704.9920654002533</c:v>
                </c:pt>
                <c:pt idx="113" formatCode="0.00.E+00">
                  <c:v>681.92293940804234</c:v>
                </c:pt>
                <c:pt idx="114" formatCode="0.00.E+00">
                  <c:v>659.73652025873457</c:v>
                </c:pt>
                <c:pt idx="115" formatCode="0.00.E+00">
                  <c:v>638.39458691746927</c:v>
                </c:pt>
                <c:pt idx="116" formatCode="0.00.E+00">
                  <c:v>617.86074010982543</c:v>
                </c:pt>
                <c:pt idx="117" formatCode="0.00.E+00">
                  <c:v>598.10030930185451</c:v>
                </c:pt>
                <c:pt idx="118" formatCode="0.00.E+00">
                  <c:v>579.08026460241683</c:v>
                </c:pt>
                <c:pt idx="119" formatCode="0.00.E+00">
                  <c:v>560.76913333212326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33-4A4F-BC2B-2F2642600E28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698721632"/>
        <c:axId val="698721960"/>
      </c:scatterChart>
      <c:valAx>
        <c:axId val="698721632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21960"/>
        <c:crosses val="autoZero"/>
        <c:crossBetween val="midCat"/>
      </c:valAx>
      <c:valAx>
        <c:axId val="698721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2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016495-FF92-4E4A-9294-F7C1F06D4EC3}">
  <sheetPr/>
  <sheetViews>
    <sheetView tabSelected="1"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531E9-C2CD-C2D7-E470-F94D456515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5</xdr:row>
      <xdr:rowOff>0</xdr:rowOff>
    </xdr:from>
    <xdr:to>
      <xdr:col>8</xdr:col>
      <xdr:colOff>485352</xdr:colOff>
      <xdr:row>7</xdr:row>
      <xdr:rowOff>249461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10576B-490A-0FD1-3360-3B3FED094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1257300"/>
          <a:ext cx="3380952" cy="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FA0C-C1A7-4D12-B1E1-B402EC74BCBC}">
  <dimension ref="A1:H123"/>
  <sheetViews>
    <sheetView topLeftCell="A19" zoomScaleNormal="100" workbookViewId="0">
      <selection activeCell="A2" sqref="A2"/>
    </sheetView>
  </sheetViews>
  <sheetFormatPr defaultColWidth="12.69921875" defaultRowHeight="19.95" customHeight="1" x14ac:dyDescent="0.25"/>
  <cols>
    <col min="1" max="16384" width="12.69921875" style="2"/>
  </cols>
  <sheetData>
    <row r="1" spans="1:8" ht="19.95" customHeight="1" x14ac:dyDescent="0.25">
      <c r="A1" s="1" t="s">
        <v>10</v>
      </c>
      <c r="B1" s="2" t="s">
        <v>11</v>
      </c>
      <c r="C1" s="2" t="s">
        <v>11</v>
      </c>
      <c r="D1" s="2" t="s">
        <v>11</v>
      </c>
      <c r="F1" s="2" t="s">
        <v>2</v>
      </c>
      <c r="G1" s="2" t="s">
        <v>3</v>
      </c>
      <c r="H1" s="2" t="s">
        <v>4</v>
      </c>
    </row>
    <row r="2" spans="1:8" ht="19.95" customHeight="1" x14ac:dyDescent="0.25">
      <c r="A2" s="6">
        <v>0</v>
      </c>
      <c r="B2" s="2">
        <v>0</v>
      </c>
      <c r="C2" s="2">
        <v>0</v>
      </c>
      <c r="D2" s="2">
        <v>0</v>
      </c>
      <c r="F2" s="3" t="s">
        <v>1</v>
      </c>
      <c r="G2" s="5">
        <f>6.626*10^(-34)</f>
        <v>6.6260000000000015E-34</v>
      </c>
      <c r="H2" s="4" t="s">
        <v>6</v>
      </c>
    </row>
    <row r="3" spans="1:8" ht="19.95" customHeight="1" x14ac:dyDescent="0.25">
      <c r="A3" s="6">
        <v>0.05</v>
      </c>
      <c r="B3" s="5">
        <f>(8*$G$5*$G$2*$G$3)/(($A3*10^(-6))^5)*(EXP(($G$2*$G$3)/(($A3*10^(-6))*$G$4*2000)-1))^(-1)</f>
        <v>1.4154731112787893E-49</v>
      </c>
      <c r="C3" s="5">
        <f>(8*$G$5*$G$2*$G$3)/(($A3*10^(-6))^5)*(EXP(($G$2*$G$3)/(($A3*10^(-6))*$G$4*3000)-1))^(-1)</f>
        <v>9.5466052388174269E-29</v>
      </c>
      <c r="D3" s="5">
        <f>(8*$G$5*$G$2*$G$3)/(($A3*10^(-6))^5)*(EXP(($G$2*$G$3)/(($A3*10^(-6))*$G$4*2000-1))^(-1))</f>
        <v>15975305198344.158</v>
      </c>
      <c r="F3" s="3" t="s">
        <v>0</v>
      </c>
      <c r="G3" s="5">
        <v>299792458</v>
      </c>
      <c r="H3" s="4" t="s">
        <v>5</v>
      </c>
    </row>
    <row r="4" spans="1:8" ht="19.95" customHeight="1" x14ac:dyDescent="0.25">
      <c r="A4" s="6">
        <v>0.1</v>
      </c>
      <c r="B4" s="5">
        <f t="shared" ref="B4:B67" si="0">(8*$G$5*$G$2*$G$3)/(($A4*10^(-6))^5)*(EXP(($G$2*$G$3)/(($A4*10^(-6))*$G$4*2000)-1))^(-1)</f>
        <v>7.7476975107895302E-20</v>
      </c>
      <c r="C4" s="5">
        <f t="shared" ref="C4:C67" si="1">(8*$G$5*$G$2*$G$3)/(($A4*10^(-6))^5)*(EXP(($G$2*$G$3)/(($A4*10^(-6))*$G$4*3000)-1))^(-1)</f>
        <v>2.0120850155067152E-9</v>
      </c>
      <c r="D4" s="5">
        <f>(8*$G$5*$G$2*$G$3)/(($A4*10^(-6))^5)*(EXP(($G$2*$G$3)/(($A4*10^(-6))*$G$4*2000-1))^(-1))</f>
        <v>499228287448.25494</v>
      </c>
      <c r="F4" s="3" t="s">
        <v>7</v>
      </c>
      <c r="G4" s="5">
        <f>1.3806*10^(-23)</f>
        <v>1.3806000000000002E-23</v>
      </c>
      <c r="H4" s="4" t="s">
        <v>8</v>
      </c>
    </row>
    <row r="5" spans="1:8" ht="19.95" customHeight="1" x14ac:dyDescent="0.25">
      <c r="A5" s="6">
        <v>0.15000000000000002</v>
      </c>
      <c r="B5" s="5">
        <f t="shared" si="0"/>
        <v>2.6496592796796401E-10</v>
      </c>
      <c r="C5" s="5">
        <f t="shared" si="1"/>
        <v>2.3236594455164892E-3</v>
      </c>
      <c r="D5" s="5">
        <f>(8*$G$5*$G$2*$G$3)/(($A5*10^(-6))^5)*(EXP(($G$2*$G$3)/(($A5*10^(-6))*$G$4*2000-1))^(-1))</f>
        <v>65741996701.004692</v>
      </c>
      <c r="F5" s="1" t="s">
        <v>9</v>
      </c>
      <c r="G5" s="2">
        <v>3.1415000000000002</v>
      </c>
    </row>
    <row r="6" spans="1:8" ht="19.95" customHeight="1" x14ac:dyDescent="0.25">
      <c r="A6" s="6">
        <v>0.2</v>
      </c>
      <c r="B6" s="5">
        <f t="shared" si="0"/>
        <v>1.0132886629160216E-5</v>
      </c>
      <c r="C6" s="5">
        <f t="shared" si="1"/>
        <v>1.6329392151622548</v>
      </c>
      <c r="D6" s="5">
        <f>(8*$G$5*$G$2*$G$3)/(($A6*10^(-6))^5)*(EXP(($G$2*$G$3)/(($A6*10^(-6))*$G$4*2000-1))^(-1))</f>
        <v>15600883982.757967</v>
      </c>
    </row>
    <row r="7" spans="1:8" ht="19.95" customHeight="1" x14ac:dyDescent="0.25">
      <c r="A7" s="6">
        <v>0.25</v>
      </c>
      <c r="B7" s="5">
        <f t="shared" si="0"/>
        <v>4.4210478935100342E-3</v>
      </c>
      <c r="C7" s="5">
        <f t="shared" si="1"/>
        <v>64.761170226681202</v>
      </c>
      <c r="D7" s="5">
        <f>(8*$G$5*$G$2*$G$3)/(($A7*10^(-6))^5)*(EXP(($G$2*$G$3)/(($A7*10^(-6))*$G$4*2000-1))^(-1))</f>
        <v>5112097663.470129</v>
      </c>
    </row>
    <row r="8" spans="1:8" ht="19.95" customHeight="1" x14ac:dyDescent="0.25">
      <c r="A8" s="6">
        <v>0.30000000000000004</v>
      </c>
      <c r="B8" s="5">
        <f t="shared" si="0"/>
        <v>0.21503726290202582</v>
      </c>
      <c r="C8" s="5">
        <f t="shared" si="1"/>
        <v>636.80277452866608</v>
      </c>
      <c r="D8" s="5">
        <f>(8*$G$5*$G$2*$G$3)/(($A8*10^(-6))^5)*(EXP(($G$2*$G$3)/(($A8*10^(-6))*$G$4*2000-1))^(-1))</f>
        <v>2054437396.9063966</v>
      </c>
    </row>
    <row r="9" spans="1:8" ht="19.95" customHeight="1" x14ac:dyDescent="0.25">
      <c r="A9" s="6">
        <v>0.35000000000000003</v>
      </c>
      <c r="B9" s="5">
        <f t="shared" si="0"/>
        <v>3.0588749874256966</v>
      </c>
      <c r="C9" s="5">
        <f t="shared" si="1"/>
        <v>2891.5162281824178</v>
      </c>
      <c r="D9" s="5">
        <f>(8*$G$5*$G$2*$G$3)/(($A9*10^(-6))^5)*(EXP(($G$2*$G$3)/(($A9*10^(-6))*$G$4*2000-1))^(-1))</f>
        <v>950514975.80437553</v>
      </c>
    </row>
    <row r="10" spans="1:8" ht="19.95" customHeight="1" x14ac:dyDescent="0.25">
      <c r="A10" s="6">
        <v>0.4</v>
      </c>
      <c r="B10" s="5">
        <f t="shared" si="0"/>
        <v>20.485117437975955</v>
      </c>
      <c r="C10" s="5">
        <f t="shared" si="1"/>
        <v>8223.5033868000228</v>
      </c>
      <c r="D10" s="5">
        <f>(8*$G$5*$G$2*$G$3)/(($A10*10^(-6))^5)*(EXP(($G$2*$G$3)/(($A10*10^(-6))*$G$4*2000-1))^(-1))</f>
        <v>487527624.46118647</v>
      </c>
    </row>
    <row r="11" spans="1:8" ht="19.95" customHeight="1" x14ac:dyDescent="0.25">
      <c r="A11" s="6">
        <v>0.45</v>
      </c>
      <c r="B11" s="5">
        <f t="shared" si="0"/>
        <v>83.858801584021791</v>
      </c>
      <c r="C11" s="5">
        <f t="shared" si="1"/>
        <v>17293.230649981491</v>
      </c>
      <c r="D11" s="5">
        <f>(8*$G$5*$G$2*$G$3)/(($A11*10^(-6))^5)*(EXP(($G$2*$G$3)/(($A11*10^(-6))*$G$4*2000-1))^(-1))</f>
        <v>270543196.30043107</v>
      </c>
    </row>
    <row r="12" spans="1:8" ht="19.95" customHeight="1" x14ac:dyDescent="0.25">
      <c r="A12" s="6">
        <v>0.5</v>
      </c>
      <c r="B12" s="5">
        <f t="shared" si="0"/>
        <v>244.93984774401966</v>
      </c>
      <c r="C12" s="5">
        <f t="shared" si="1"/>
        <v>29645.185868192719</v>
      </c>
      <c r="D12" s="5">
        <f>(8*$G$5*$G$2*$G$3)/(($A12*10^(-6))^5)*(EXP(($G$2*$G$3)/(($A12*10^(-6))*$G$4*2000-1))^(-1))</f>
        <v>159753051.98344153</v>
      </c>
    </row>
    <row r="13" spans="1:8" ht="19.95" customHeight="1" x14ac:dyDescent="0.25">
      <c r="A13" s="6">
        <v>0.55000000000000004</v>
      </c>
      <c r="B13" s="5">
        <f t="shared" si="0"/>
        <v>562.54622925219735</v>
      </c>
      <c r="C13" s="5">
        <f t="shared" si="1"/>
        <v>44024.951407430512</v>
      </c>
      <c r="D13" s="5">
        <f>(8*$G$5*$G$2*$G$3)/(($A13*10^(-6))^5)*(EXP(($G$2*$G$3)/(($A13*10^(-6))*$G$4*2000-1))^(-1))</f>
        <v>99194076.400296479</v>
      </c>
    </row>
    <row r="14" spans="1:8" ht="19.95" customHeight="1" x14ac:dyDescent="0.25">
      <c r="A14" s="6">
        <v>0.60000000000000009</v>
      </c>
      <c r="B14" s="5">
        <f t="shared" si="0"/>
        <v>1082.9304871506213</v>
      </c>
      <c r="C14" s="5">
        <f t="shared" si="1"/>
        <v>58931.323136563573</v>
      </c>
      <c r="D14" s="5">
        <f>(8*$G$5*$G$2*$G$3)/(($A14*10^(-6))^5)*(EXP(($G$2*$G$3)/(($A14*10^(-6))*$G$4*2000-1))^(-1))</f>
        <v>64201168.653324895</v>
      </c>
    </row>
    <row r="15" spans="1:8" ht="19.95" customHeight="1" x14ac:dyDescent="0.25">
      <c r="A15" s="6">
        <v>0.65</v>
      </c>
      <c r="B15" s="5">
        <f t="shared" si="0"/>
        <v>1825.3524315068066</v>
      </c>
      <c r="C15" s="5">
        <f t="shared" si="1"/>
        <v>73042.133010893172</v>
      </c>
      <c r="D15" s="5">
        <f>(8*$G$5*$G$2*$G$3)/(($A15*10^(-6))^5)*(EXP(($G$2*$G$3)/(($A15*10^(-6))*$G$4*2000-1))^(-1))</f>
        <v>43026141.614154182</v>
      </c>
    </row>
    <row r="16" spans="1:8" ht="19.95" customHeight="1" x14ac:dyDescent="0.25">
      <c r="A16" s="6">
        <v>0.70000000000000007</v>
      </c>
      <c r="B16" s="5">
        <f t="shared" si="0"/>
        <v>2778.1622683422479</v>
      </c>
      <c r="C16" s="5">
        <f t="shared" si="1"/>
        <v>85416.065263084674</v>
      </c>
      <c r="D16" s="5">
        <f>(8*$G$5*$G$2*$G$3)/(($A16*10^(-6))^5)*(EXP(($G$2*$G$3)/(($A16*10^(-6))*$G$4*2000-1))^(-1))</f>
        <v>29703592.993886735</v>
      </c>
    </row>
    <row r="17" spans="1:4" ht="19.95" customHeight="1" x14ac:dyDescent="0.25">
      <c r="A17" s="6">
        <v>0.75</v>
      </c>
      <c r="B17" s="5">
        <f t="shared" si="0"/>
        <v>3903.8927892270303</v>
      </c>
      <c r="C17" s="5">
        <f t="shared" si="1"/>
        <v>95520.012740046761</v>
      </c>
      <c r="D17" s="5">
        <f>(8*$G$5*$G$2*$G$3)/(($A17*10^(-6))^5)*(EXP(($G$2*$G$3)/(($A17*10^(-6))*$G$4*2000-1))^(-1))</f>
        <v>21037438.944321509</v>
      </c>
    </row>
    <row r="18" spans="1:4" ht="19.95" customHeight="1" x14ac:dyDescent="0.25">
      <c r="A18" s="6">
        <v>0.8</v>
      </c>
      <c r="B18" s="5">
        <f t="shared" si="0"/>
        <v>5148.9195488560526</v>
      </c>
      <c r="C18" s="5">
        <f t="shared" si="1"/>
        <v>103163.32112426673</v>
      </c>
      <c r="D18" s="5">
        <f>(8*$G$5*$G$2*$G$3)/(($A18*10^(-6))^5)*(EXP(($G$2*$G$3)/(($A18*10^(-6))*$G$4*2000-1))^(-1))</f>
        <v>15235238.264412077</v>
      </c>
    </row>
    <row r="19" spans="1:4" ht="19.95" customHeight="1" x14ac:dyDescent="0.25">
      <c r="A19" s="6">
        <v>0.85000000000000009</v>
      </c>
      <c r="B19" s="5">
        <f t="shared" si="0"/>
        <v>6453.6060240647093</v>
      </c>
      <c r="C19" s="5">
        <f t="shared" si="1"/>
        <v>108401.33877149798</v>
      </c>
      <c r="D19" s="5">
        <f>(8*$G$5*$G$2*$G$3)/(($A19*10^(-6))^5)*(EXP(($G$2*$G$3)/(($A19*10^(-6))*$G$4*2000-1))^(-1))</f>
        <v>11251347.986694541</v>
      </c>
    </row>
    <row r="20" spans="1:4" ht="19.95" customHeight="1" x14ac:dyDescent="0.25">
      <c r="A20" s="6">
        <v>0.9</v>
      </c>
      <c r="B20" s="5">
        <f t="shared" si="0"/>
        <v>7760.5034583128991</v>
      </c>
      <c r="C20" s="5">
        <f t="shared" si="1"/>
        <v>111443.21640384929</v>
      </c>
      <c r="D20" s="5">
        <f>(8*$G$5*$G$2*$G$3)/(($A20*10^(-6))^5)*(EXP(($G$2*$G$3)/(($A20*10^(-6))*$G$4*2000-1))^(-1))</f>
        <v>8454474.884388471</v>
      </c>
    </row>
    <row r="21" spans="1:4" ht="19.95" customHeight="1" x14ac:dyDescent="0.25">
      <c r="A21" s="6">
        <v>0.95000000000000007</v>
      </c>
      <c r="B21" s="5">
        <f t="shared" si="0"/>
        <v>9019.7496165864759</v>
      </c>
      <c r="C21" s="5">
        <f t="shared" si="1"/>
        <v>112578.34718114405</v>
      </c>
      <c r="D21" s="5">
        <f>(8*$G$5*$G$2*$G$3)/(($A21*10^(-6))^5)*(EXP(($G$2*$G$3)/(($A21*10^(-6))*$G$4*2000-1))^(-1))</f>
        <v>6451803.9053947963</v>
      </c>
    </row>
    <row r="22" spans="1:4" ht="19.95" customHeight="1" x14ac:dyDescent="0.25">
      <c r="A22" s="6">
        <v>1</v>
      </c>
      <c r="B22" s="5">
        <f t="shared" si="0"/>
        <v>10191.815809554802</v>
      </c>
      <c r="C22" s="5">
        <f t="shared" si="1"/>
        <v>112124.09052340875</v>
      </c>
      <c r="D22" s="5">
        <f>(8*$G$5*$G$2*$G$3)/(($A22*10^(-6))^5)*(EXP(($G$2*$G$3)/(($A22*10^(-6))*$G$4*2000-1))^(-1))</f>
        <v>4992282.8744825479</v>
      </c>
    </row>
    <row r="23" spans="1:4" ht="19.95" customHeight="1" x14ac:dyDescent="0.25">
      <c r="A23" s="6">
        <v>1.05</v>
      </c>
      <c r="B23" s="5">
        <f t="shared" si="0"/>
        <v>11248.20612517989</v>
      </c>
      <c r="C23" s="5">
        <f t="shared" si="1"/>
        <v>110392.07622950252</v>
      </c>
      <c r="D23" s="5">
        <f>(8*$G$5*$G$2*$G$3)/(($A23*10^(-6))^5)*(EXP(($G$2*$G$3)/(($A23*10^(-6))*$G$4*2000-1))^(-1))</f>
        <v>3911584.2625694512</v>
      </c>
    </row>
    <row r="24" spans="1:4" ht="19.95" customHeight="1" x14ac:dyDescent="0.25">
      <c r="A24" s="6">
        <v>1.1000000000000001</v>
      </c>
      <c r="B24" s="5">
        <f t="shared" si="0"/>
        <v>12170.80321755046</v>
      </c>
      <c r="C24" s="5">
        <f t="shared" si="1"/>
        <v>107668.72601092148</v>
      </c>
      <c r="D24" s="5">
        <f>(8*$G$5*$G$2*$G$3)/(($A24*10^(-6))^5)*(EXP(($G$2*$G$3)/(($A24*10^(-6))*$G$4*2000-1))^(-1))</f>
        <v>3099814.887509265</v>
      </c>
    </row>
    <row r="25" spans="1:4" ht="19.95" customHeight="1" x14ac:dyDescent="0.25">
      <c r="A25" s="6">
        <v>1.1500000000000001</v>
      </c>
      <c r="B25" s="5">
        <f t="shared" si="0"/>
        <v>12950.461565163905</v>
      </c>
      <c r="C25" s="5">
        <f t="shared" si="1"/>
        <v>104205.74273790594</v>
      </c>
      <c r="D25" s="5">
        <f>(8*$G$5*$G$2*$G$3)/(($A25*10^(-6))^5)*(EXP(($G$2*$G$3)/(($A25*10^(-6))*$G$4*2000-1))^(-1))</f>
        <v>2482046.9012207938</v>
      </c>
    </row>
    <row r="26" spans="1:4" ht="19.95" customHeight="1" x14ac:dyDescent="0.25">
      <c r="A26" s="6">
        <v>1.2000000000000002</v>
      </c>
      <c r="B26" s="5">
        <f t="shared" si="0"/>
        <v>13585.293316775864</v>
      </c>
      <c r="C26" s="5">
        <f t="shared" si="1"/>
        <v>100217.09864556606</v>
      </c>
      <c r="D26" s="5">
        <f>(8*$G$5*$G$2*$G$3)/(($A26*10^(-6))^5)*(EXP(($G$2*$G$3)/(($A26*10^(-6))*$G$4*2000-1))^(-1))</f>
        <v>2006286.520416403</v>
      </c>
    </row>
    <row r="27" spans="1:4" ht="19.95" customHeight="1" x14ac:dyDescent="0.25">
      <c r="A27" s="6">
        <v>1.25</v>
      </c>
      <c r="B27" s="5">
        <f t="shared" si="0"/>
        <v>14078.938813278408</v>
      </c>
      <c r="C27" s="5">
        <f t="shared" si="1"/>
        <v>95879.953586565636</v>
      </c>
      <c r="D27" s="5">
        <f>(8*$G$5*$G$2*$G$3)/(($A27*10^(-6))^5)*(EXP(($G$2*$G$3)/(($A27*10^(-6))*$G$4*2000-1))^(-1))</f>
        <v>1635871.252310442</v>
      </c>
    </row>
    <row r="28" spans="1:4" ht="19.95" customHeight="1" x14ac:dyDescent="0.25">
      <c r="A28" s="6">
        <v>1.3</v>
      </c>
      <c r="B28" s="5">
        <f t="shared" si="0"/>
        <v>14438.990415646345</v>
      </c>
      <c r="C28" s="5">
        <f t="shared" si="1"/>
        <v>91337.724408254915</v>
      </c>
      <c r="D28" s="5">
        <f>(8*$G$5*$G$2*$G$3)/(($A28*10^(-6))^5)*(EXP(($G$2*$G$3)/(($A28*10^(-6))*$G$4*2000-1))^(-1))</f>
        <v>1344566.9254423182</v>
      </c>
    </row>
    <row r="29" spans="1:4" ht="19.95" customHeight="1" x14ac:dyDescent="0.25">
      <c r="A29" s="6">
        <v>1.35</v>
      </c>
      <c r="B29" s="5">
        <f t="shared" si="0"/>
        <v>14675.649896803199</v>
      </c>
      <c r="C29" s="5">
        <f t="shared" si="1"/>
        <v>86704.140365674888</v>
      </c>
      <c r="D29" s="5">
        <f>(8*$G$5*$G$2*$G$3)/(($A29*10^(-6))^5)*(EXP(($G$2*$G$3)/(($A29*10^(-6))*$G$4*2000-1))^(-1))</f>
        <v>1113346.4868330497</v>
      </c>
    </row>
    <row r="30" spans="1:4" ht="19.95" customHeight="1" x14ac:dyDescent="0.25">
      <c r="A30" s="6">
        <v>1.4000000000000001</v>
      </c>
      <c r="B30" s="5">
        <f t="shared" si="0"/>
        <v>14800.642194189439</v>
      </c>
      <c r="C30" s="5">
        <f t="shared" si="1"/>
        <v>82067.562793284262</v>
      </c>
      <c r="D30" s="5">
        <f>(8*$G$5*$G$2*$G$3)/(($A30*10^(-6))^5)*(EXP(($G$2*$G$3)/(($A30*10^(-6))*$G$4*2000-1))^(-1))</f>
        <v>928237.28105896048</v>
      </c>
    </row>
    <row r="31" spans="1:4" ht="19.95" customHeight="1" x14ac:dyDescent="0.25">
      <c r="A31" s="6">
        <v>1.4500000000000002</v>
      </c>
      <c r="B31" s="5">
        <f t="shared" si="0"/>
        <v>14826.374501640708</v>
      </c>
      <c r="C31" s="5">
        <f t="shared" si="1"/>
        <v>77495.151084554353</v>
      </c>
      <c r="D31" s="5">
        <f>(8*$G$5*$G$2*$G$3)/(($A31*10^(-6))^5)*(EXP(($G$2*$G$3)/(($A31*10^(-6))*$G$4*2000-1))^(-1))</f>
        <v>778859.59476693103</v>
      </c>
    </row>
    <row r="32" spans="1:4" ht="19.95" customHeight="1" x14ac:dyDescent="0.25">
      <c r="A32" s="6">
        <v>1.5</v>
      </c>
      <c r="B32" s="5">
        <f t="shared" si="0"/>
        <v>14765.312332300749</v>
      </c>
      <c r="C32" s="5">
        <f t="shared" si="1"/>
        <v>73036.656345918615</v>
      </c>
      <c r="D32" s="5">
        <f>(8*$G$5*$G$2*$G$3)/(($A32*10^(-6))^5)*(EXP(($G$2*$G$3)/(($A32*10^(-6))*$G$4*2000-1))^(-1))</f>
        <v>657419.96701004717</v>
      </c>
    </row>
    <row r="33" spans="1:4" ht="19.95" customHeight="1" x14ac:dyDescent="0.25">
      <c r="A33" s="6">
        <v>1.55</v>
      </c>
      <c r="B33" s="5">
        <f t="shared" si="0"/>
        <v>14629.537456664862</v>
      </c>
      <c r="C33" s="5">
        <f t="shared" si="1"/>
        <v>68727.749377735818</v>
      </c>
      <c r="D33" s="5">
        <f>(8*$G$5*$G$2*$G$3)/(($A33*10^(-6))^5)*(EXP(($G$2*$G$3)/(($A33*10^(-6))*$G$4*2000-1))^(-1))</f>
        <v>558008.34605064429</v>
      </c>
    </row>
    <row r="34" spans="1:4" ht="19.95" customHeight="1" x14ac:dyDescent="0.25">
      <c r="A34" s="6">
        <v>1.6</v>
      </c>
      <c r="B34" s="5">
        <f t="shared" si="0"/>
        <v>14430.452212491742</v>
      </c>
      <c r="C34" s="5">
        <f t="shared" si="1"/>
        <v>64592.864607349264</v>
      </c>
      <c r="D34" s="5">
        <f>(8*$G$5*$G$2*$G$3)/(($A34*10^(-6))^5)*(EXP(($G$2*$G$3)/(($A34*10^(-6))*$G$4*2000-1))^(-1))</f>
        <v>476101.19576287741</v>
      </c>
    </row>
    <row r="35" spans="1:4" ht="19.95" customHeight="1" x14ac:dyDescent="0.25">
      <c r="A35" s="6">
        <v>1.6500000000000001</v>
      </c>
      <c r="B35" s="5">
        <f t="shared" si="0"/>
        <v>14178.59766398966</v>
      </c>
      <c r="C35" s="5">
        <f t="shared" si="1"/>
        <v>60647.583550116309</v>
      </c>
      <c r="D35" s="5">
        <f>(8*$G$5*$G$2*$G$3)/(($A35*10^(-6))^5)*(EXP(($G$2*$G$3)/(($A35*10^(-6))*$G$4*2000-1))^(-1))</f>
        <v>408206.07572138467</v>
      </c>
    </row>
    <row r="36" spans="1:4" ht="19.95" customHeight="1" x14ac:dyDescent="0.25">
      <c r="A36" s="6">
        <v>1.7000000000000002</v>
      </c>
      <c r="B36" s="5">
        <f t="shared" si="0"/>
        <v>13883.557579354503</v>
      </c>
      <c r="C36" s="5">
        <f t="shared" si="1"/>
        <v>56900.60237076936</v>
      </c>
      <c r="D36" s="5">
        <f>(8*$G$5*$G$2*$G$3)/(($A36*10^(-6))^5)*(EXP(($G$2*$G$3)/(($A36*10^(-6))*$G$4*2000-1))^(-1))</f>
        <v>351604.6245842044</v>
      </c>
    </row>
    <row r="37" spans="1:4" ht="19.95" customHeight="1" x14ac:dyDescent="0.25">
      <c r="A37" s="6">
        <v>1.75</v>
      </c>
      <c r="B37" s="5">
        <f t="shared" si="0"/>
        <v>13553.925073115575</v>
      </c>
      <c r="C37" s="5">
        <f t="shared" si="1"/>
        <v>53355.336305892597</v>
      </c>
      <c r="D37" s="5">
        <f>(8*$G$5*$G$2*$G$3)/(($A37*10^(-6))^5)*(EXP(($G$2*$G$3)/(($A37*10^(-6))*$G$4*2000-1))^(-1))</f>
        <v>304164.7922574004</v>
      </c>
    </row>
    <row r="38" spans="1:4" ht="19.95" customHeight="1" x14ac:dyDescent="0.25">
      <c r="A38" s="6">
        <v>1.8</v>
      </c>
      <c r="B38" s="5">
        <f t="shared" si="0"/>
        <v>13197.313401885249</v>
      </c>
      <c r="C38" s="5">
        <f t="shared" si="1"/>
        <v>50011.214434852336</v>
      </c>
      <c r="D38" s="5">
        <f>(8*$G$5*$G$2*$G$3)/(($A38*10^(-6))^5)*(EXP(($G$2*$G$3)/(($A38*10^(-6))*$G$4*2000-1))^(-1))</f>
        <v>264202.34013713972</v>
      </c>
    </row>
    <row r="39" spans="1:4" ht="19.95" customHeight="1" x14ac:dyDescent="0.25">
      <c r="A39" s="6">
        <v>1.85</v>
      </c>
      <c r="B39" s="5">
        <f t="shared" si="0"/>
        <v>12820.396509080219</v>
      </c>
      <c r="C39" s="5">
        <f t="shared" si="1"/>
        <v>46864.714966031293</v>
      </c>
      <c r="D39" s="5">
        <f>(8*$G$5*$G$2*$G$3)/(($A39*10^(-6))^5)*(EXP(($G$2*$G$3)/(($A39*10^(-6))*$G$4*2000-1))^(-1))</f>
        <v>230377.75589218462</v>
      </c>
    </row>
    <row r="40" spans="1:4" ht="19.95" customHeight="1" x14ac:dyDescent="0.25">
      <c r="A40" s="6">
        <v>1.9000000000000001</v>
      </c>
      <c r="B40" s="5">
        <f t="shared" si="0"/>
        <v>12428.968379500539</v>
      </c>
      <c r="C40" s="5">
        <f t="shared" si="1"/>
        <v>43910.185955758512</v>
      </c>
      <c r="D40" s="5">
        <f>(8*$G$5*$G$2*$G$3)/(($A40*10^(-6))^5)*(EXP(($G$2*$G$3)/(($A40*10^(-6))*$G$4*2000-1))^(-1))</f>
        <v>201618.87204358738</v>
      </c>
    </row>
    <row r="41" spans="1:4" ht="19.95" customHeight="1" x14ac:dyDescent="0.25">
      <c r="A41" s="6">
        <v>1.9500000000000002</v>
      </c>
      <c r="B41" s="5">
        <f t="shared" si="0"/>
        <v>12028.013090799006</v>
      </c>
      <c r="C41" s="5">
        <f t="shared" si="1"/>
        <v>41140.490466114716</v>
      </c>
      <c r="D41" s="5">
        <f>(8*$G$5*$G$2*$G$3)/(($A41*10^(-6))^5)*(EXP(($G$2*$G$3)/(($A41*10^(-6))*$G$4*2000-1))^(-1))</f>
        <v>177062.31116935884</v>
      </c>
    </row>
    <row r="42" spans="1:4" ht="19.95" customHeight="1" x14ac:dyDescent="0.25">
      <c r="A42" s="6">
        <v>2</v>
      </c>
      <c r="B42" s="5">
        <f t="shared" si="0"/>
        <v>11621.779693744833</v>
      </c>
      <c r="C42" s="5">
        <f t="shared" si="1"/>
        <v>38547.509315990581</v>
      </c>
      <c r="D42" s="5">
        <f>(8*$G$5*$G$2*$G$3)/(($A42*10^(-6))^5)*(EXP(($G$2*$G$3)/(($A42*10^(-6))*$G$4*2000-1))^(-1))</f>
        <v>156008.83982757962</v>
      </c>
    </row>
    <row r="43" spans="1:4" ht="19.95" customHeight="1" x14ac:dyDescent="0.25">
      <c r="A43" s="6">
        <v>2.0500000000000003</v>
      </c>
      <c r="B43" s="5">
        <f t="shared" si="0"/>
        <v>11213.857797711729</v>
      </c>
      <c r="C43" s="5">
        <f t="shared" si="1"/>
        <v>36122.529166222746</v>
      </c>
      <c r="D43" s="5">
        <f>(8*$G$5*$G$2*$G$3)/(($A43*10^(-6))^5)*(EXP(($G$2*$G$3)/(($A43*10^(-6))*$G$4*2000-1))^(-1))</f>
        <v>137889.0819865925</v>
      </c>
    </row>
    <row r="44" spans="1:4" ht="19.95" customHeight="1" x14ac:dyDescent="0.25">
      <c r="A44" s="6">
        <v>2.1</v>
      </c>
      <c r="B44" s="5">
        <f t="shared" si="0"/>
        <v>10807.251067428393</v>
      </c>
      <c r="C44" s="5">
        <f t="shared" si="1"/>
        <v>33856.538874508216</v>
      </c>
      <c r="D44" s="5">
        <f>(8*$G$5*$G$2*$G$3)/(($A44*10^(-6))^5)*(EXP(($G$2*$G$3)/(($A44*10^(-6))*$G$4*2000-1))^(-1))</f>
        <v>122237.00820529535</v>
      </c>
    </row>
    <row r="45" spans="1:4" ht="19.95" customHeight="1" x14ac:dyDescent="0.25">
      <c r="A45" s="6">
        <v>2.15</v>
      </c>
      <c r="B45" s="5">
        <f t="shared" si="0"/>
        <v>10404.446831878704</v>
      </c>
      <c r="C45" s="5">
        <f t="shared" si="1"/>
        <v>31740.452906701634</v>
      </c>
      <c r="D45" s="5">
        <f>(8*$G$5*$G$2*$G$3)/(($A45*10^(-6))^5)*(EXP(($G$2*$G$3)/(($A45*10^(-6))*$G$4*2000-1))^(-1))</f>
        <v>108669.30410482723</v>
      </c>
    </row>
    <row r="46" spans="1:4" ht="19.95" customHeight="1" x14ac:dyDescent="0.25">
      <c r="A46" s="6">
        <v>2.2000000000000002</v>
      </c>
      <c r="B46" s="5">
        <f t="shared" si="0"/>
        <v>10007.480736758154</v>
      </c>
      <c r="C46" s="5">
        <f t="shared" si="1"/>
        <v>29765.277077446364</v>
      </c>
      <c r="D46" s="5">
        <f>(8*$G$5*$G$2*$G$3)/(($A46*10^(-6))^5)*(EXP(($G$2*$G$3)/(($A46*10^(-6))*$G$4*2000-1))^(-1))</f>
        <v>96869.215234664531</v>
      </c>
    </row>
    <row r="47" spans="1:4" ht="19.95" customHeight="1" x14ac:dyDescent="0.25">
      <c r="A47" s="6">
        <v>2.25</v>
      </c>
      <c r="B47" s="5">
        <f t="shared" si="0"/>
        <v>9617.9958974049223</v>
      </c>
      <c r="C47" s="5">
        <f t="shared" si="1"/>
        <v>27922.228959730935</v>
      </c>
      <c r="D47" s="5">
        <f>(8*$G$5*$G$2*$G$3)/(($A47*10^(-6))^5)*(EXP(($G$2*$G$3)/(($A47*10^(-6))*$G$4*2000-1))^(-1))</f>
        <v>86573.822816137923</v>
      </c>
    </row>
    <row r="48" spans="1:4" ht="19.95" customHeight="1" x14ac:dyDescent="0.25">
      <c r="A48" s="6">
        <v>2.3000000000000003</v>
      </c>
      <c r="B48" s="5">
        <f t="shared" si="0"/>
        <v>9237.296378134979</v>
      </c>
      <c r="C48" s="5">
        <f t="shared" si="1"/>
        <v>26202.822880383737</v>
      </c>
      <c r="D48" s="5">
        <f>(8*$G$5*$G$2*$G$3)/(($A48*10^(-6))^5)*(EXP(($G$2*$G$3)/(($A48*10^(-6))*$G$4*2000-1))^(-1))</f>
        <v>77563.965663149807</v>
      </c>
    </row>
    <row r="49" spans="1:4" ht="19.95" customHeight="1" x14ac:dyDescent="0.25">
      <c r="A49" s="6">
        <v>2.35</v>
      </c>
      <c r="B49" s="5">
        <f t="shared" si="0"/>
        <v>8866.3950751970897</v>
      </c>
      <c r="C49" s="5">
        <f t="shared" si="1"/>
        <v>24598.927434494493</v>
      </c>
      <c r="D49" s="5">
        <f>(8*$G$5*$G$2*$G$3)/(($A49*10^(-6))^5)*(EXP(($G$2*$G$3)/(($A49*10^(-6))*$G$4*2000-1))^(-1))</f>
        <v>69656.215355689666</v>
      </c>
    </row>
    <row r="50" spans="1:4" ht="19.95" customHeight="1" x14ac:dyDescent="0.25">
      <c r="A50" s="6">
        <v>2.4000000000000004</v>
      </c>
      <c r="B50" s="5">
        <f t="shared" si="0"/>
        <v>8506.0562445891974</v>
      </c>
      <c r="C50" s="5">
        <f t="shared" si="1"/>
        <v>23102.801837679348</v>
      </c>
      <c r="D50" s="5">
        <f>(8*$G$5*$G$2*$G$3)/(($A50*10^(-6))^5)*(EXP(($G$2*$G$3)/(($A50*10^(-6))*$G$4*2000-1))^(-1))</f>
        <v>62696.453763012592</v>
      </c>
    </row>
    <row r="51" spans="1:4" ht="19.95" customHeight="1" x14ac:dyDescent="0.25">
      <c r="A51" s="6">
        <v>2.4500000000000002</v>
      </c>
      <c r="B51" s="5">
        <f t="shared" si="0"/>
        <v>8156.833016313557</v>
      </c>
      <c r="C51" s="5">
        <f t="shared" si="1"/>
        <v>21707.116129088565</v>
      </c>
      <c r="D51" s="5">
        <f>(8*$G$5*$G$2*$G$3)/(($A51*10^(-6))^5)*(EXP(($G$2*$G$3)/(($A51*10^(-6))*$G$4*2000-1))^(-1))</f>
        <v>56554.707907679876</v>
      </c>
    </row>
    <row r="52" spans="1:4" ht="19.95" customHeight="1" x14ac:dyDescent="0.25">
      <c r="A52" s="6">
        <v>2.5</v>
      </c>
      <c r="B52" s="5">
        <f t="shared" si="0"/>
        <v>7819.1002912985759</v>
      </c>
      <c r="C52" s="5">
        <f t="shared" si="1"/>
        <v>20404.959186030148</v>
      </c>
      <c r="D52" s="5">
        <f>(8*$G$5*$G$2*$G$3)/(($A52*10^(-6))^5)*(EXP(($G$2*$G$3)/(($A52*10^(-6))*$G$4*2000-1))^(-1))</f>
        <v>51120.976634701314</v>
      </c>
    </row>
    <row r="53" spans="1:4" ht="19.95" customHeight="1" x14ac:dyDescent="0.25">
      <c r="A53" s="6">
        <v>2.5500000000000003</v>
      </c>
      <c r="B53" s="5">
        <f t="shared" si="0"/>
        <v>7493.0834397720946</v>
      </c>
      <c r="C53" s="5">
        <f t="shared" si="1"/>
        <v>19189.837666896208</v>
      </c>
      <c r="D53" s="5">
        <f>(8*$G$5*$G$2*$G$3)/(($A53*10^(-6))^5)*(EXP(($G$2*$G$3)/(($A53*10^(-6))*$G$4*2000-1))^(-1))</f>
        <v>46301.843566644187</v>
      </c>
    </row>
    <row r="54" spans="1:4" ht="19.95" customHeight="1" x14ac:dyDescent="0.25">
      <c r="A54" s="6">
        <v>2.6</v>
      </c>
      <c r="B54" s="5">
        <f t="shared" si="0"/>
        <v>7178.8832204659875</v>
      </c>
      <c r="C54" s="5">
        <f t="shared" si="1"/>
        <v>18055.668323939226</v>
      </c>
      <c r="D54" s="5">
        <f>(8*$G$5*$G$2*$G$3)/(($A54*10^(-6))^5)*(EXP(($G$2*$G$3)/(($A54*10^(-6))*$G$4*2000-1))^(-1))</f>
        <v>42017.716420072444</v>
      </c>
    </row>
    <row r="55" spans="1:4" ht="19.95" customHeight="1" x14ac:dyDescent="0.25">
      <c r="A55" s="6">
        <v>2.6500000000000004</v>
      </c>
      <c r="B55" s="5">
        <f t="shared" si="0"/>
        <v>6876.4973261357982</v>
      </c>
      <c r="C55" s="5">
        <f t="shared" si="1"/>
        <v>16996.765589147075</v>
      </c>
      <c r="D55" s="5">
        <f>(8*$G$5*$G$2*$G$3)/(($A55*10^(-6))^5)*(EXP(($G$2*$G$3)/(($A55*10^(-6))*$G$4*2000-1))^(-1))</f>
        <v>38200.567595175278</v>
      </c>
    </row>
    <row r="56" spans="1:4" ht="19.95" customHeight="1" x14ac:dyDescent="0.25">
      <c r="A56" s="6">
        <v>2.7</v>
      </c>
      <c r="B56" s="5">
        <f t="shared" si="0"/>
        <v>6585.838937922942</v>
      </c>
      <c r="C56" s="5">
        <f t="shared" si="1"/>
        <v>16007.825908505896</v>
      </c>
      <c r="D56" s="5">
        <f>(8*$G$5*$G$2*$G$3)/(($A56*10^(-6))^5)*(EXP(($G$2*$G$3)/(($A56*10^(-6))*$G$4*2000-1))^(-1))</f>
        <v>34792.077713532803</v>
      </c>
    </row>
    <row r="57" spans="1:4" ht="19.95" customHeight="1" x14ac:dyDescent="0.25">
      <c r="A57" s="6">
        <v>2.75</v>
      </c>
      <c r="B57" s="5">
        <f t="shared" si="0"/>
        <v>6306.752642960947</v>
      </c>
      <c r="C57" s="5">
        <f t="shared" si="1"/>
        <v>15083.90996065234</v>
      </c>
      <c r="D57" s="5">
        <f>(8*$G$5*$G$2*$G$3)/(($A57*10^(-6))^5)*(EXP(($G$2*$G$3)/(($A57*10^(-6))*$G$4*2000-1))^(-1))</f>
        <v>31742.10444809488</v>
      </c>
    </row>
    <row r="58" spans="1:4" ht="19.95" customHeight="1" x14ac:dyDescent="0.25">
      <c r="A58" s="6">
        <v>2.8000000000000003</v>
      </c>
      <c r="B58" s="5">
        <f t="shared" si="0"/>
        <v>6039.02803907012</v>
      </c>
      <c r="C58" s="5">
        <f t="shared" si="1"/>
        <v>14220.423627702809</v>
      </c>
      <c r="D58" s="5">
        <f>(8*$G$5*$G$2*$G$3)/(($A58*10^(-6))^5)*(EXP(($G$2*$G$3)/(($A58*10^(-6))*$G$4*2000-1))^(-1))</f>
        <v>29007.415033092515</v>
      </c>
    </row>
    <row r="59" spans="1:4" ht="19.95" customHeight="1" x14ac:dyDescent="0.25">
      <c r="A59" s="6">
        <v>2.85</v>
      </c>
      <c r="B59" s="5">
        <f t="shared" si="0"/>
        <v>5782.4113192768436</v>
      </c>
      <c r="C59" s="5">
        <f t="shared" si="1"/>
        <v>13413.098374653535</v>
      </c>
      <c r="D59" s="5">
        <f>(8*$G$5*$G$2*$G$3)/(($A59*10^(-6))^5)*(EXP(($G$2*$G$3)/(($A59*10^(-6))*$G$4*2000-1))^(-1))</f>
        <v>26550.633355534152</v>
      </c>
    </row>
    <row r="60" spans="1:4" ht="19.95" customHeight="1" x14ac:dyDescent="0.25">
      <c r="A60" s="6">
        <v>2.9000000000000004</v>
      </c>
      <c r="B60" s="5">
        <f t="shared" si="0"/>
        <v>5536.6150984884234</v>
      </c>
      <c r="C60" s="5">
        <f t="shared" si="1"/>
        <v>12657.971527684775</v>
      </c>
      <c r="D60" s="5">
        <f>(8*$G$5*$G$2*$G$3)/(($A60*10^(-6))^5)*(EXP(($G$2*$G$3)/(($A60*10^(-6))*$G$4*2000-1))^(-1))</f>
        <v>24339.362336466595</v>
      </c>
    </row>
    <row r="61" spans="1:4" ht="19.95" customHeight="1" x14ac:dyDescent="0.25">
      <c r="A61" s="6">
        <v>2.95</v>
      </c>
      <c r="B61" s="5">
        <f t="shared" si="0"/>
        <v>5301.3267157491191</v>
      </c>
      <c r="C61" s="5">
        <f t="shared" si="1"/>
        <v>11951.366811734511</v>
      </c>
      <c r="D61" s="5">
        <f>(8*$G$5*$G$2*$G$3)/(($A61*10^(-6))^5)*(EXP(($G$2*$G$3)/(($A61*10^(-6))*$G$4*2000-1))^(-1))</f>
        <v>22345.450029729862</v>
      </c>
    </row>
    <row r="62" spans="1:4" ht="19.95" customHeight="1" x14ac:dyDescent="0.25">
      <c r="A62" s="6">
        <v>3</v>
      </c>
      <c r="B62" s="5">
        <f t="shared" si="0"/>
        <v>5076.215218566661</v>
      </c>
      <c r="C62" s="5">
        <f t="shared" si="1"/>
        <v>11289.875406416071</v>
      </c>
      <c r="D62" s="5">
        <f>(8*$G$5*$G$2*$G$3)/(($A62*10^(-6))^5)*(EXP(($G$2*$G$3)/(($A62*10^(-6))*$G$4*2000-1))^(-1))</f>
        <v>20544.373969063974</v>
      </c>
    </row>
    <row r="63" spans="1:4" ht="19.95" customHeight="1" x14ac:dyDescent="0.25">
      <c r="A63" s="6">
        <v>3.0500000000000003</v>
      </c>
      <c r="B63" s="5">
        <f t="shared" si="0"/>
        <v>4860.9372110733884</v>
      </c>
      <c r="C63" s="5">
        <f t="shared" si="1"/>
        <v>10670.33770080907</v>
      </c>
      <c r="D63" s="5">
        <f>(8*$G$5*$G$2*$G$3)/(($A63*10^(-6))^5)*(EXP(($G$2*$G$3)/(($A63*10^(-6))*$G$4*2000-1))^(-1))</f>
        <v>18914.723139835482</v>
      </c>
    </row>
    <row r="64" spans="1:4" ht="19.95" customHeight="1" x14ac:dyDescent="0.25">
      <c r="A64" s="6">
        <v>3.1</v>
      </c>
      <c r="B64" s="5">
        <f t="shared" si="0"/>
        <v>4655.1417253510335</v>
      </c>
      <c r="C64" s="5">
        <f t="shared" si="1"/>
        <v>10089.825867104211</v>
      </c>
      <c r="D64" s="5">
        <f>(8*$G$5*$G$2*$G$3)/(($A64*10^(-6))^5)*(EXP(($G$2*$G$3)/(($A64*10^(-6))*$G$4*2000-1))^(-1))</f>
        <v>17437.760814082634</v>
      </c>
    </row>
    <row r="65" spans="1:4" ht="19.95" customHeight="1" x14ac:dyDescent="0.25">
      <c r="A65" s="6">
        <v>3.1500000000000004</v>
      </c>
      <c r="B65" s="5">
        <f t="shared" si="0"/>
        <v>4458.4742550792707</v>
      </c>
      <c r="C65" s="5">
        <f t="shared" si="1"/>
        <v>9545.6273267478755</v>
      </c>
      <c r="D65" s="5">
        <f>(8*$G$5*$G$2*$G$3)/(($A65*10^(-6))^5)*(EXP(($G$2*$G$3)/(($A65*10^(-6))*$G$4*2000-1))^(-1))</f>
        <v>16097.054578475094</v>
      </c>
    </row>
    <row r="66" spans="1:4" ht="19.95" customHeight="1" x14ac:dyDescent="0.25">
      <c r="A66" s="6">
        <v>3.2</v>
      </c>
      <c r="B66" s="5">
        <f t="shared" si="0"/>
        <v>4270.5800726699599</v>
      </c>
      <c r="C66" s="5">
        <f t="shared" si="1"/>
        <v>9035.2291475913662</v>
      </c>
      <c r="D66" s="5">
        <f>(8*$G$5*$G$2*$G$3)/(($A66*10^(-6))^5)*(EXP(($G$2*$G$3)/(($A66*10^(-6))*$G$4*2000-1))^(-1))</f>
        <v>14878.162367589919</v>
      </c>
    </row>
    <row r="67" spans="1:4" ht="19.95" customHeight="1" x14ac:dyDescent="0.25">
      <c r="A67" s="6">
        <v>3.25</v>
      </c>
      <c r="B67" s="5">
        <f t="shared" si="0"/>
        <v>4091.1069350861226</v>
      </c>
      <c r="C67" s="5">
        <f t="shared" si="1"/>
        <v>8556.303384202105</v>
      </c>
      <c r="D67" s="5">
        <f>(8*$G$5*$G$2*$G$3)/(($A67*10^(-6))^5)*(EXP(($G$2*$G$3)/(($A67*10^(-6))*$G$4*2000-1))^(-1))</f>
        <v>13768.365316529344</v>
      </c>
    </row>
    <row r="68" spans="1:4" ht="19.95" customHeight="1" x14ac:dyDescent="0.25">
      <c r="A68" s="6">
        <v>3.3000000000000003</v>
      </c>
      <c r="B68" s="5">
        <f t="shared" ref="B68:B120" si="2">(8*$G$5*$G$2*$G$3)/(($A68*10^(-6))^5)*(EXP(($G$2*$G$3)/(($A68*10^(-6))*$G$4*2000)-1))^(-1)</f>
        <v>3919.7072694579574</v>
      </c>
      <c r="C68" s="5">
        <f t="shared" ref="C68:C120" si="3">(8*$G$5*$G$2*$G$3)/(($A68*10^(-6))^5)*(EXP(($G$2*$G$3)/(($A68*10^(-6))*$G$4*3000)-1))^(-1)</f>
        <v>8106.6933540303753</v>
      </c>
      <c r="D68" s="5">
        <f>(8*$G$5*$G$2*$G$3)/(($A68*10^(-6))^5)*(EXP(($G$2*$G$3)/(($A68*10^(-6))*$G$4*2000-1))^(-1))</f>
        <v>12756.439866293271</v>
      </c>
    </row>
    <row r="69" spans="1:4" ht="19.95" customHeight="1" x14ac:dyDescent="0.25">
      <c r="A69" s="6">
        <v>3.35</v>
      </c>
      <c r="B69" s="5">
        <f t="shared" si="2"/>
        <v>3756.0399172303541</v>
      </c>
      <c r="C69" s="5">
        <f t="shared" si="3"/>
        <v>7684.4008280305998</v>
      </c>
      <c r="D69" s="5">
        <f>(8*$G$5*$G$2*$G$3)/(($A69*10^(-6))^5)*(EXP(($G$2*$G$3)/(($A69*10^(-6))*$G$4*2000-1))^(-1))</f>
        <v>11832.462869934725</v>
      </c>
    </row>
    <row r="70" spans="1:4" ht="19.95" customHeight="1" x14ac:dyDescent="0.25">
      <c r="A70" s="6">
        <v>3.4000000000000004</v>
      </c>
      <c r="B70" s="5">
        <f t="shared" si="2"/>
        <v>3599.7715047388006</v>
      </c>
      <c r="C70" s="5">
        <f t="shared" si="3"/>
        <v>7287.5741044098895</v>
      </c>
      <c r="D70" s="5">
        <f>(8*$G$5*$G$2*$G$3)/(($A70*10^(-6))^5)*(EXP(($G$2*$G$3)/(($A70*10^(-6))*$G$4*2000-1))^(-1))</f>
        <v>10987.644518256388</v>
      </c>
    </row>
    <row r="71" spans="1:4" ht="19.95" customHeight="1" x14ac:dyDescent="0.25">
      <c r="A71" s="6">
        <v>3.45</v>
      </c>
      <c r="B71" s="5">
        <f t="shared" si="2"/>
        <v>3450.5774986513575</v>
      </c>
      <c r="C71" s="5">
        <f t="shared" si="3"/>
        <v>6914.4969274688265</v>
      </c>
      <c r="D71" s="5">
        <f>(8*$G$5*$G$2*$G$3)/(($A71*10^(-6))^5)*(EXP(($G$2*$G$3)/(($A71*10^(-6))*$G$4*2000-1))^(-1))</f>
        <v>10214.184778686398</v>
      </c>
    </row>
    <row r="72" spans="1:4" ht="19.95" customHeight="1" x14ac:dyDescent="0.25">
      <c r="A72" s="6">
        <v>3.5</v>
      </c>
      <c r="B72" s="5">
        <f t="shared" si="2"/>
        <v>3308.1429964798699</v>
      </c>
      <c r="C72" s="5">
        <f t="shared" si="3"/>
        <v>6563.5782092597437</v>
      </c>
      <c r="D72" s="5">
        <f>(8*$G$5*$G$2*$G$3)/(($A72*10^(-6))^5)*(EXP(($G$2*$G$3)/(($A72*10^(-6))*$G$4*2000-1))^(-1))</f>
        <v>9505.1497580437626</v>
      </c>
    </row>
    <row r="73" spans="1:4" ht="19.95" customHeight="1" x14ac:dyDescent="0.25">
      <c r="A73" s="6">
        <v>3.5500000000000003</v>
      </c>
      <c r="B73" s="5">
        <f t="shared" si="2"/>
        <v>3172.16329521239</v>
      </c>
      <c r="C73" s="5">
        <f t="shared" si="3"/>
        <v>6233.3425094254098</v>
      </c>
      <c r="D73" s="5">
        <f>(8*$G$5*$G$2*$G$3)/(($A73*10^(-6))^5)*(EXP(($G$2*$G$3)/(($A73*10^(-6))*$G$4*2000-1))^(-1))</f>
        <v>8854.3649894010305</v>
      </c>
    </row>
    <row r="74" spans="1:4" ht="19.95" customHeight="1" x14ac:dyDescent="0.25">
      <c r="A74" s="6">
        <v>3.6</v>
      </c>
      <c r="B74" s="5">
        <f t="shared" si="2"/>
        <v>3042.3442749207397</v>
      </c>
      <c r="C74" s="5">
        <f t="shared" si="3"/>
        <v>5922.4212276310136</v>
      </c>
      <c r="D74" s="5">
        <f>(8*$G$5*$G$2*$G$3)/(($A74*10^(-6))^5)*(EXP(($G$2*$G$3)/(($A74*10^(-6))*$G$4*2000-1))^(-1))</f>
        <v>8256.3231292856162</v>
      </c>
    </row>
    <row r="75" spans="1:4" ht="19.95" customHeight="1" x14ac:dyDescent="0.25">
      <c r="A75" s="6">
        <v>3.6500000000000004</v>
      </c>
      <c r="B75" s="5">
        <f t="shared" si="2"/>
        <v>2918.4026288354521</v>
      </c>
      <c r="C75" s="5">
        <f t="shared" si="3"/>
        <v>5629.5444631007749</v>
      </c>
      <c r="D75" s="5">
        <f>(8*$G$5*$G$2*$G$3)/(($A75*10^(-6))^5)*(EXP(($G$2*$G$3)/(($A75*10^(-6))*$G$4*2000-1))^(-1))</f>
        <v>7706.103953325528</v>
      </c>
    </row>
    <row r="76" spans="1:4" ht="19.95" customHeight="1" x14ac:dyDescent="0.25">
      <c r="A76" s="6">
        <v>3.7</v>
      </c>
      <c r="B76" s="5">
        <f t="shared" si="2"/>
        <v>2800.065966749793</v>
      </c>
      <c r="C76" s="5">
        <f t="shared" si="3"/>
        <v>5353.5334966331702</v>
      </c>
      <c r="D76" s="5">
        <f>(8*$G$5*$G$2*$G$3)/(($A76*10^(-6))^5)*(EXP(($G$2*$G$3)/(($A76*10^(-6))*$G$4*2000-1))^(-1))</f>
        <v>7199.3048716307694</v>
      </c>
    </row>
    <row r="77" spans="1:4" ht="19.95" customHeight="1" x14ac:dyDescent="0.25">
      <c r="A77" s="6">
        <v>3.75</v>
      </c>
      <c r="B77" s="5">
        <f t="shared" si="2"/>
        <v>2687.0728146212532</v>
      </c>
      <c r="C77" s="5">
        <f t="shared" si="3"/>
        <v>5093.2938518740375</v>
      </c>
      <c r="D77" s="5">
        <f>(8*$G$5*$G$2*$G$3)/(($A77*10^(-6))^5)*(EXP(($G$2*$G$3)/(($A77*10^(-6))*$G$4*2000-1))^(-1))</f>
        <v>6731.9804621828871</v>
      </c>
    </row>
    <row r="78" spans="1:4" ht="19.95" customHeight="1" x14ac:dyDescent="0.25">
      <c r="A78" s="6">
        <v>3.8000000000000003</v>
      </c>
      <c r="B78" s="5">
        <f t="shared" si="2"/>
        <v>2579.1725298005158</v>
      </c>
      <c r="C78" s="5">
        <f t="shared" si="3"/>
        <v>4847.8088944045303</v>
      </c>
      <c r="D78" s="5">
        <f>(8*$G$5*$G$2*$G$3)/(($A78*10^(-6))^5)*(EXP(($G$2*$G$3)/(($A78*10^(-6))*$G$4*2000-1))^(-1))</f>
        <v>6300.5897513621057</v>
      </c>
    </row>
    <row r="79" spans="1:4" ht="19.95" customHeight="1" x14ac:dyDescent="0.25">
      <c r="A79" s="6">
        <v>3.85</v>
      </c>
      <c r="B79" s="5">
        <f t="shared" si="2"/>
        <v>2476.1251483608444</v>
      </c>
      <c r="C79" s="5">
        <f t="shared" si="3"/>
        <v>4616.1339292188168</v>
      </c>
      <c r="D79" s="5">
        <f>(8*$G$5*$G$2*$G$3)/(($A79*10^(-6))^5)*(EXP(($G$2*$G$3)/(($A79*10^(-6))*$G$4*2000-1))^(-1))</f>
        <v>5901.9501636399455</v>
      </c>
    </row>
    <row r="80" spans="1:4" ht="19.95" customHeight="1" x14ac:dyDescent="0.25">
      <c r="A80" s="6">
        <v>3.9000000000000004</v>
      </c>
      <c r="B80" s="5">
        <f t="shared" si="2"/>
        <v>2377.7011784611336</v>
      </c>
      <c r="C80" s="5">
        <f t="shared" si="3"/>
        <v>4397.3907593246013</v>
      </c>
      <c r="D80" s="5">
        <f>(8*$G$5*$G$2*$G$3)/(($A80*10^(-6))^5)*(EXP(($G$2*$G$3)/(($A80*10^(-6))*$G$4*2000-1))^(-1))</f>
        <v>5533.1972240424639</v>
      </c>
    </row>
    <row r="81" spans="1:4" ht="19.95" customHeight="1" x14ac:dyDescent="0.25">
      <c r="A81" s="6">
        <v>3.95</v>
      </c>
      <c r="B81" s="5">
        <f t="shared" si="2"/>
        <v>2283.6813514974524</v>
      </c>
      <c r="C81" s="5">
        <f t="shared" si="3"/>
        <v>4190.7626704225459</v>
      </c>
      <c r="D81" s="5">
        <f>(8*$G$5*$G$2*$G$3)/(($A81*10^(-6))^5)*(EXP(($G$2*$G$3)/(($A81*10^(-6))*$G$4*2000-1))^(-1))</f>
        <v>5191.7492326549154</v>
      </c>
    </row>
    <row r="82" spans="1:4" ht="19.95" customHeight="1" x14ac:dyDescent="0.25">
      <c r="A82" s="6">
        <v>4</v>
      </c>
      <c r="B82" s="5">
        <f t="shared" si="2"/>
        <v>2193.8563409314729</v>
      </c>
      <c r="C82" s="5">
        <f t="shared" si="3"/>
        <v>3995.4898088514674</v>
      </c>
      <c r="D82" s="5">
        <f>(8*$G$5*$G$2*$G$3)/(($A82*10^(-6))^5)*(EXP(($G$2*$G$3)/(($A82*10^(-6))*$G$4*2000-1))^(-1))</f>
        <v>4875.2762446118631</v>
      </c>
    </row>
    <row r="83" spans="1:4" ht="19.95" customHeight="1" x14ac:dyDescent="0.25">
      <c r="A83" s="6">
        <v>4.05</v>
      </c>
      <c r="B83" s="5">
        <f t="shared" si="2"/>
        <v>2108.0264570871973</v>
      </c>
      <c r="C83" s="5">
        <f t="shared" si="3"/>
        <v>3810.8649221840069</v>
      </c>
      <c r="D83" s="5">
        <f>(8*$G$5*$G$2*$G$3)/(($A83*10^(-6))^5)*(EXP(($G$2*$G$3)/(($A83*10^(-6))*$G$4*2000-1))^(-1))</f>
        <v>4581.6727853211942</v>
      </c>
    </row>
    <row r="84" spans="1:4" ht="19.95" customHeight="1" x14ac:dyDescent="0.25">
      <c r="A84" s="6">
        <v>4.1000000000000005</v>
      </c>
      <c r="B84" s="5">
        <f t="shared" si="2"/>
        <v>2026.0013248427513</v>
      </c>
      <c r="C84" s="5">
        <f t="shared" si="3"/>
        <v>3636.229433992361</v>
      </c>
      <c r="D84" s="5">
        <f>(8*$G$5*$G$2*$G$3)/(($A84*10^(-6))^5)*(EXP(($G$2*$G$3)/(($A84*10^(-6))*$G$4*2000-1))^(-1))</f>
        <v>4309.0338120810156</v>
      </c>
    </row>
    <row r="85" spans="1:4" ht="19.95" customHeight="1" x14ac:dyDescent="0.25">
      <c r="A85" s="6">
        <v>4.1500000000000004</v>
      </c>
      <c r="B85" s="5">
        <f t="shared" si="2"/>
        <v>1947.5995499793214</v>
      </c>
      <c r="C85" s="5">
        <f t="shared" si="3"/>
        <v>3470.9698263551077</v>
      </c>
      <c r="D85" s="5">
        <f>(8*$G$5*$G$2*$G$3)/(($A85*10^(-6))^5)*(EXP(($G$2*$G$3)/(($A85*10^(-6))*$G$4*2000-1))^(-1))</f>
        <v>4055.6335022167341</v>
      </c>
    </row>
    <row r="86" spans="1:4" ht="19.95" customHeight="1" x14ac:dyDescent="0.25">
      <c r="A86" s="6">
        <v>4.2</v>
      </c>
      <c r="B86" s="5">
        <f t="shared" si="2"/>
        <v>1872.6483789567508</v>
      </c>
      <c r="C86" s="5">
        <f t="shared" si="3"/>
        <v>3314.5143056306906</v>
      </c>
      <c r="D86" s="5">
        <f>(8*$G$5*$G$2*$G$3)/(($A86*10^(-6))^5)*(EXP(($G$2*$G$3)/(($A86*10^(-6))*$G$4*2000-1))^(-1))</f>
        <v>3819.9065064154797</v>
      </c>
    </row>
    <row r="87" spans="1:4" ht="19.95" customHeight="1" x14ac:dyDescent="0.25">
      <c r="A87" s="6">
        <v>4.25</v>
      </c>
      <c r="B87" s="5">
        <f t="shared" si="2"/>
        <v>1800.9833560408817</v>
      </c>
      <c r="C87" s="5">
        <f t="shared" si="3"/>
        <v>3166.3297288727845</v>
      </c>
      <c r="D87" s="5">
        <f>(8*$G$5*$G$2*$G$3)/(($A87*10^(-6))^5)*(EXP(($G$2*$G$3)/(($A87*10^(-6))*$G$4*2000-1))^(-1))</f>
        <v>3600.4313557422533</v>
      </c>
    </row>
    <row r="88" spans="1:4" ht="19.95" customHeight="1" x14ac:dyDescent="0.25">
      <c r="A88" s="6">
        <v>4.3</v>
      </c>
      <c r="B88" s="5">
        <f t="shared" si="2"/>
        <v>1732.4479809901854</v>
      </c>
      <c r="C88" s="5">
        <f t="shared" si="3"/>
        <v>3025.9187700029483</v>
      </c>
      <c r="D88" s="5">
        <f>(8*$G$5*$G$2*$G$3)/(($A88*10^(-6))^5)*(EXP(($G$2*$G$3)/(($A88*10^(-6))*$G$4*2000-1))^(-1))</f>
        <v>3395.9157532758509</v>
      </c>
    </row>
    <row r="89" spans="1:4" ht="19.95" customHeight="1" x14ac:dyDescent="0.25">
      <c r="A89" s="6">
        <v>4.3500000000000005</v>
      </c>
      <c r="B89" s="5">
        <f t="shared" si="2"/>
        <v>1666.8933699008755</v>
      </c>
      <c r="C89" s="5">
        <f t="shared" si="3"/>
        <v>2892.8173064860534</v>
      </c>
      <c r="D89" s="5">
        <f>(8*$G$5*$G$2*$G$3)/(($A89*10^(-6))^5)*(EXP(($G$2*$G$3)/(($A89*10^(-6))*$G$4*2000-1))^(-1))</f>
        <v>3205.183517559386</v>
      </c>
    </row>
    <row r="90" spans="1:4" ht="19.95" customHeight="1" x14ac:dyDescent="0.25">
      <c r="A90" s="6">
        <v>4.4000000000000004</v>
      </c>
      <c r="B90" s="5">
        <f t="shared" si="2"/>
        <v>1604.1779212948964</v>
      </c>
      <c r="C90" s="5">
        <f t="shared" si="3"/>
        <v>2766.5920087751215</v>
      </c>
      <c r="D90" s="5">
        <f>(8*$G$5*$G$2*$G$3)/(($A90*10^(-6))^5)*(EXP(($G$2*$G$3)/(($A90*10^(-6))*$G$4*2000-1))^(-1))</f>
        <v>3027.1629760832666</v>
      </c>
    </row>
    <row r="91" spans="1:4" ht="19.95" customHeight="1" x14ac:dyDescent="0.25">
      <c r="A91" s="6">
        <v>4.45</v>
      </c>
      <c r="B91" s="5">
        <f t="shared" si="2"/>
        <v>1544.1669891003519</v>
      </c>
      <c r="C91" s="5">
        <f t="shared" si="3"/>
        <v>2646.8381162067417</v>
      </c>
      <c r="D91" s="5">
        <f t="shared" ref="D91:D120" si="4">(8*$G$5*$G$2*$G$3)/(($A91*10^(-6))^5)*(EXP(($G$2*$G$3)/(($A91*10^(-6))*$G$4*2000-1))^(-1))</f>
        <v>2860.8766336119561</v>
      </c>
    </row>
    <row r="92" spans="1:4" ht="19.95" customHeight="1" x14ac:dyDescent="0.25">
      <c r="A92" s="6">
        <v>4.5</v>
      </c>
      <c r="B92" s="5">
        <f t="shared" si="2"/>
        <v>1486.7325638078783</v>
      </c>
      <c r="C92" s="5">
        <f t="shared" si="3"/>
        <v>2533.1773843407905</v>
      </c>
      <c r="D92" s="5">
        <f t="shared" si="4"/>
        <v>2705.4319630043101</v>
      </c>
    </row>
    <row r="93" spans="1:4" ht="19.95" customHeight="1" x14ac:dyDescent="0.25">
      <c r="A93" s="6">
        <v>4.55</v>
      </c>
      <c r="B93" s="5">
        <f t="shared" si="2"/>
        <v>1431.7529627788131</v>
      </c>
      <c r="C93" s="5">
        <f t="shared" si="3"/>
        <v>2425.2561899527182</v>
      </c>
      <c r="D93" s="5">
        <f t="shared" si="4"/>
        <v>2560.0131858246091</v>
      </c>
    </row>
    <row r="94" spans="1:4" ht="19.95" customHeight="1" x14ac:dyDescent="0.25">
      <c r="A94" s="6">
        <v>4.5999999999999996</v>
      </c>
      <c r="B94" s="5">
        <f t="shared" si="2"/>
        <v>1379.1125304236452</v>
      </c>
      <c r="C94" s="5">
        <f t="shared" si="3"/>
        <v>2322.7437810088718</v>
      </c>
      <c r="D94" s="5">
        <f t="shared" si="4"/>
        <v>2423.8739269734342</v>
      </c>
    </row>
    <row r="95" spans="1:4" ht="19.95" customHeight="1" x14ac:dyDescent="0.25">
      <c r="A95" s="6">
        <v>4.6500000000000004</v>
      </c>
      <c r="B95" s="5">
        <f t="shared" si="2"/>
        <v>1328.7013487544641</v>
      </c>
      <c r="C95" s="5">
        <f t="shared" si="3"/>
        <v>2225.3306599902971</v>
      </c>
      <c r="D95" s="5">
        <f t="shared" si="4"/>
        <v>2296.3306421837206</v>
      </c>
    </row>
    <row r="96" spans="1:4" ht="19.95" customHeight="1" x14ac:dyDescent="0.25">
      <c r="A96" s="6">
        <v>4.7</v>
      </c>
      <c r="B96" s="5">
        <f t="shared" si="2"/>
        <v>1280.414958636851</v>
      </c>
      <c r="C96" s="5">
        <f t="shared" si="3"/>
        <v>2132.7270898838037</v>
      </c>
      <c r="D96" s="5">
        <f t="shared" si="4"/>
        <v>2176.7567298653021</v>
      </c>
    </row>
    <row r="97" spans="1:4" ht="19.95" customHeight="1" x14ac:dyDescent="0.25">
      <c r="A97" s="6">
        <v>4.75</v>
      </c>
      <c r="B97" s="5">
        <f t="shared" si="2"/>
        <v>1234.1540919193351</v>
      </c>
      <c r="C97" s="5">
        <f t="shared" si="3"/>
        <v>2044.6617130361112</v>
      </c>
      <c r="D97" s="5">
        <f t="shared" si="4"/>
        <v>2064.5772497263365</v>
      </c>
    </row>
    <row r="98" spans="1:4" ht="19.95" customHeight="1" x14ac:dyDescent="0.25">
      <c r="A98" s="6">
        <v>4.8</v>
      </c>
      <c r="B98" s="5">
        <f t="shared" si="2"/>
        <v>1189.8244144976281</v>
      </c>
      <c r="C98" s="5">
        <f t="shared" si="3"/>
        <v>1960.8802738732427</v>
      </c>
      <c r="D98" s="5">
        <f t="shared" si="4"/>
        <v>1959.2641800941451</v>
      </c>
    </row>
    <row r="99" spans="1:4" ht="19.95" customHeight="1" x14ac:dyDescent="0.25">
      <c r="A99" s="6">
        <v>4.8499999999999996</v>
      </c>
      <c r="B99" s="5">
        <f t="shared" si="2"/>
        <v>1147.3362802722406</v>
      </c>
      <c r="C99" s="5">
        <f t="shared" si="3"/>
        <v>1881.1444372276719</v>
      </c>
      <c r="D99" s="5">
        <f t="shared" si="4"/>
        <v>1860.332154105788</v>
      </c>
    </row>
    <row r="100" spans="1:4" ht="19.95" customHeight="1" x14ac:dyDescent="0.25">
      <c r="A100" s="6">
        <v>4.9000000000000004</v>
      </c>
      <c r="B100" s="5">
        <f t="shared" si="2"/>
        <v>1106.6044958784503</v>
      </c>
      <c r="C100" s="5">
        <f t="shared" si="3"/>
        <v>1805.2306946954225</v>
      </c>
      <c r="D100" s="5">
        <f t="shared" si="4"/>
        <v>1767.3346221149961</v>
      </c>
    </row>
    <row r="101" spans="1:4" ht="19.95" customHeight="1" x14ac:dyDescent="0.25">
      <c r="A101" s="6">
        <v>4.95</v>
      </c>
      <c r="B101" s="5">
        <f t="shared" si="2"/>
        <v>1067.5480960040002</v>
      </c>
      <c r="C101" s="5">
        <f t="shared" si="3"/>
        <v>1732.9293520688295</v>
      </c>
      <c r="D101" s="5">
        <f t="shared" si="4"/>
        <v>1679.8603939151633</v>
      </c>
    </row>
    <row r="102" spans="1:4" ht="19.95" customHeight="1" x14ac:dyDescent="0.25">
      <c r="A102" s="6">
        <v>5</v>
      </c>
      <c r="B102" s="5">
        <f t="shared" si="2"/>
        <v>1030.0901290597485</v>
      </c>
      <c r="C102" s="5">
        <f t="shared" si="3"/>
        <v>1664.0435914622653</v>
      </c>
      <c r="D102" s="5">
        <f t="shared" si="4"/>
        <v>1597.5305198344161</v>
      </c>
    </row>
    <row r="103" spans="1:4" ht="19.95" customHeight="1" x14ac:dyDescent="0.25">
      <c r="A103" s="6">
        <v>5.05</v>
      </c>
      <c r="B103" s="5">
        <f t="shared" si="2"/>
        <v>994.15745292980012</v>
      </c>
      <c r="C103" s="5">
        <f t="shared" si="3"/>
        <v>1598.3886022722902</v>
      </c>
      <c r="D103" s="5">
        <f t="shared" si="4"/>
        <v>1519.9954745270186</v>
      </c>
    </row>
    <row r="104" spans="1:4" ht="19.95" customHeight="1" x14ac:dyDescent="0.25">
      <c r="A104" s="6">
        <v>5.0999999999999996</v>
      </c>
      <c r="B104" s="5">
        <f t="shared" si="2"/>
        <v>959.68054049842181</v>
      </c>
      <c r="C104" s="5">
        <f t="shared" si="3"/>
        <v>1535.7907755938679</v>
      </c>
      <c r="D104" s="5">
        <f t="shared" si="4"/>
        <v>1446.9326114576318</v>
      </c>
    </row>
    <row r="105" spans="1:4" ht="19.95" customHeight="1" x14ac:dyDescent="0.25">
      <c r="A105" s="6">
        <v>5.15</v>
      </c>
      <c r="B105" s="5">
        <f t="shared" si="2"/>
        <v>926.59329462980406</v>
      </c>
      <c r="C105" s="5">
        <f t="shared" si="3"/>
        <v>1476.0869571542769</v>
      </c>
      <c r="D105" s="5">
        <f t="shared" si="4"/>
        <v>1378.0438597309665</v>
      </c>
    </row>
    <row r="106" spans="1:4" ht="19.95" customHeight="1" x14ac:dyDescent="0.25">
      <c r="A106" s="6">
        <v>5.2</v>
      </c>
      <c r="B106" s="5">
        <f t="shared" si="2"/>
        <v>894.83287226219238</v>
      </c>
      <c r="C106" s="5">
        <f t="shared" si="3"/>
        <v>1419.1237542295476</v>
      </c>
      <c r="D106" s="5">
        <f t="shared" si="4"/>
        <v>1313.0536381272639</v>
      </c>
    </row>
    <row r="107" spans="1:4" ht="19.95" customHeight="1" x14ac:dyDescent="0.25">
      <c r="A107" s="6">
        <v>5.25</v>
      </c>
      <c r="B107" s="5">
        <f t="shared" si="2"/>
        <v>864.33951726877285</v>
      </c>
      <c r="C107" s="5">
        <f t="shared" si="3"/>
        <v>1364.7568923774359</v>
      </c>
      <c r="D107" s="5">
        <f t="shared" si="4"/>
        <v>1251.7069640222239</v>
      </c>
    </row>
    <row r="108" spans="1:4" ht="19.95" customHeight="1" x14ac:dyDescent="0.25">
      <c r="A108" s="6">
        <v>5.3</v>
      </c>
      <c r="B108" s="5">
        <f t="shared" si="2"/>
        <v>835.05640173321478</v>
      </c>
      <c r="C108" s="5">
        <f t="shared" si="3"/>
        <v>1312.8506181592707</v>
      </c>
      <c r="D108" s="5">
        <f t="shared" si="4"/>
        <v>1193.7677373492286</v>
      </c>
    </row>
    <row r="109" spans="1:4" ht="19.95" customHeight="1" x14ac:dyDescent="0.25">
      <c r="A109" s="6">
        <v>5.35</v>
      </c>
      <c r="B109" s="5">
        <f t="shared" si="2"/>
        <v>806.92947528690672</v>
      </c>
      <c r="C109" s="5">
        <f t="shared" si="3"/>
        <v>1263.2771443328695</v>
      </c>
      <c r="D109" s="5">
        <f t="shared" si="4"/>
        <v>1139.0171819452989</v>
      </c>
    </row>
    <row r="110" spans="1:4" ht="19.95" customHeight="1" x14ac:dyDescent="0.25">
      <c r="A110" s="6">
        <v>5.4</v>
      </c>
      <c r="B110" s="5">
        <f t="shared" si="2"/>
        <v>779.90732215717048</v>
      </c>
      <c r="C110" s="5">
        <f t="shared" si="3"/>
        <v>1215.9161342826278</v>
      </c>
      <c r="D110" s="5">
        <f t="shared" si="4"/>
        <v>1087.2524285479001</v>
      </c>
    </row>
    <row r="111" spans="1:4" ht="19.95" customHeight="1" x14ac:dyDescent="0.25">
      <c r="A111" s="6">
        <v>5.45</v>
      </c>
      <c r="B111" s="5">
        <f t="shared" si="2"/>
        <v>753.94102558033558</v>
      </c>
      <c r="C111" s="5">
        <f t="shared" si="3"/>
        <v>1170.6542227129476</v>
      </c>
      <c r="D111" s="5">
        <f t="shared" si="4"/>
        <v>1038.2852254098973</v>
      </c>
    </row>
    <row r="112" spans="1:4" ht="19.95" customHeight="1" x14ac:dyDescent="0.25">
      <c r="A112" s="6">
        <v>5.5</v>
      </c>
      <c r="B112" s="5">
        <f t="shared" si="2"/>
        <v>728.98403924017487</v>
      </c>
      <c r="C112" s="5">
        <f t="shared" si="3"/>
        <v>1127.3845698695764</v>
      </c>
      <c r="D112" s="5">
        <f t="shared" si="4"/>
        <v>991.94076400296501</v>
      </c>
    </row>
    <row r="113" spans="1:4" ht="19.95" customHeight="1" x14ac:dyDescent="0.25">
      <c r="A113" s="6">
        <v>5.55</v>
      </c>
      <c r="B113" s="5">
        <f t="shared" si="2"/>
        <v>704.9920654002533</v>
      </c>
      <c r="C113" s="5">
        <f t="shared" si="3"/>
        <v>1086.0064467718137</v>
      </c>
      <c r="D113" s="5">
        <f t="shared" si="4"/>
        <v>948.05660860981391</v>
      </c>
    </row>
    <row r="114" spans="1:4" ht="19.95" customHeight="1" x14ac:dyDescent="0.25">
      <c r="A114" s="6">
        <v>5.6</v>
      </c>
      <c r="B114" s="5">
        <f t="shared" si="2"/>
        <v>681.92293940804234</v>
      </c>
      <c r="C114" s="5">
        <f t="shared" si="3"/>
        <v>1046.4248491388134</v>
      </c>
      <c r="D114" s="5">
        <f t="shared" si="4"/>
        <v>906.481719784142</v>
      </c>
    </row>
    <row r="115" spans="1:4" ht="19.95" customHeight="1" x14ac:dyDescent="0.25">
      <c r="A115" s="6">
        <v>5.65</v>
      </c>
      <c r="B115" s="5">
        <f t="shared" si="2"/>
        <v>659.73652025873457</v>
      </c>
      <c r="C115" s="5">
        <f t="shared" si="3"/>
        <v>1008.550137876773</v>
      </c>
      <c r="D115" s="5">
        <f t="shared" si="4"/>
        <v>867.07556270249256</v>
      </c>
    </row>
    <row r="116" spans="1:4" ht="19.95" customHeight="1" x14ac:dyDescent="0.25">
      <c r="A116" s="6">
        <v>5.7</v>
      </c>
      <c r="B116" s="5">
        <f t="shared" si="2"/>
        <v>638.39458691746927</v>
      </c>
      <c r="C116" s="5">
        <f t="shared" si="3"/>
        <v>972.29770416216058</v>
      </c>
      <c r="D116" s="5">
        <f t="shared" si="4"/>
        <v>829.70729236044224</v>
      </c>
    </row>
    <row r="117" spans="1:4" ht="19.95" customHeight="1" x14ac:dyDescent="0.25">
      <c r="A117" s="6">
        <v>5.75</v>
      </c>
      <c r="B117" s="5">
        <f t="shared" si="2"/>
        <v>617.86074010982543</v>
      </c>
      <c r="C117" s="5">
        <f t="shared" si="3"/>
        <v>937.58765731057304</v>
      </c>
      <c r="D117" s="5">
        <f t="shared" si="4"/>
        <v>794.25500839065398</v>
      </c>
    </row>
    <row r="118" spans="1:4" ht="19.95" customHeight="1" x14ac:dyDescent="0.25">
      <c r="A118" s="6">
        <v>5.8</v>
      </c>
      <c r="B118" s="5">
        <f t="shared" si="2"/>
        <v>598.10030930185451</v>
      </c>
      <c r="C118" s="5">
        <f t="shared" si="3"/>
        <v>904.34453376250497</v>
      </c>
      <c r="D118" s="5">
        <f t="shared" si="4"/>
        <v>760.60507301458199</v>
      </c>
    </row>
    <row r="119" spans="1:4" ht="19.95" customHeight="1" x14ac:dyDescent="0.25">
      <c r="A119" s="6">
        <v>5.85</v>
      </c>
      <c r="B119" s="5">
        <f t="shared" si="2"/>
        <v>579.08026460241683</v>
      </c>
      <c r="C119" s="5">
        <f t="shared" si="3"/>
        <v>872.49702564733445</v>
      </c>
      <c r="D119" s="5">
        <f t="shared" si="4"/>
        <v>728.65148629365831</v>
      </c>
    </row>
    <row r="120" spans="1:4" ht="19.95" customHeight="1" x14ac:dyDescent="0.25">
      <c r="A120" s="6">
        <v>5.9</v>
      </c>
      <c r="B120" s="5">
        <f t="shared" si="2"/>
        <v>560.76913333212326</v>
      </c>
      <c r="C120" s="5">
        <f t="shared" si="3"/>
        <v>841.97772750625836</v>
      </c>
      <c r="D120" s="5">
        <f t="shared" si="4"/>
        <v>698.29531342905818</v>
      </c>
    </row>
    <row r="121" spans="1:4" ht="19.95" customHeight="1" x14ac:dyDescent="0.25">
      <c r="B121" s="5"/>
      <c r="C121" s="5"/>
      <c r="D121" s="5"/>
    </row>
    <row r="122" spans="1:4" ht="19.95" customHeight="1" x14ac:dyDescent="0.25">
      <c r="B122" s="5"/>
      <c r="C122" s="5"/>
      <c r="D122" s="5"/>
    </row>
    <row r="123" spans="1:4" ht="19.95" customHeight="1" x14ac:dyDescent="0.25">
      <c r="B123" s="5"/>
      <c r="C123" s="5"/>
      <c r="D123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Black Body Radiation (Data)</vt:lpstr>
      <vt:lpstr>Black Body Radiation (Chart)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 Rava</dc:creator>
  <cp:lastModifiedBy>Imanuel Rava</cp:lastModifiedBy>
  <dcterms:created xsi:type="dcterms:W3CDTF">2024-01-13T09:57:40Z</dcterms:created>
  <dcterms:modified xsi:type="dcterms:W3CDTF">2024-05-25T19:54:44Z</dcterms:modified>
</cp:coreProperties>
</file>